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ary Analyzer" sheetId="1" state="visible" r:id="rId3"/>
    <sheet name="Loaded Labor Calculator" sheetId="2" state="visible" r:id="rId4"/>
    <sheet name="Valuation Risk Assessment" sheetId="3" state="visible" r:id="rId5"/>
    <sheet name="Complete BLS Data" sheetId="4" state="visible" r:id="rId6"/>
    <sheet name="Staffing Model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<sst xmlns="http://schemas.openxmlformats.org/spreadsheetml/2006/main" count="404" uniqueCount="235">
  <si>
    <t xml:space="preserve">ROOFING CONTRACTOR SALARY BENCHMARKING &amp; VALUATION TOOL</t>
  </si>
  <si>
    <t xml:space="preserve">Source: BLS OEWS May 2023, NAICS 238160 - Roofing Contractors | Industry: 238,300 employees | Median Hourly: $26.12 | Mean Annual: $61,340</t>
  </si>
  <si>
    <t xml:space="preserve">INSTRUCTIONS: Enter your company's pay rates in the BLUE cells (Column F). Analysis calculates automatically.</t>
  </si>
  <si>
    <t xml:space="preserve">SOC Code</t>
  </si>
  <si>
    <t xml:space="preserve">Position Title</t>
  </si>
  <si>
    <t xml:space="preserve">BLS Emp</t>
  </si>
  <si>
    <t xml:space="preserve">% of Industry</t>
  </si>
  <si>
    <t xml:space="preserve">BLS Median Hourly</t>
  </si>
  <si>
    <t xml:space="preserve">YOUR Hourly Rate</t>
  </si>
  <si>
    <t xml:space="preserve">Variance %</t>
  </si>
  <si>
    <t xml:space="preserve">Market Position</t>
  </si>
  <si>
    <t xml:space="preserve">BLS P10</t>
  </si>
  <si>
    <t xml:space="preserve">BLS P25</t>
  </si>
  <si>
    <t xml:space="preserve">BLS P75</t>
  </si>
  <si>
    <t xml:space="preserve">BLS P90</t>
  </si>
  <si>
    <t xml:space="preserve">Annual Median</t>
  </si>
  <si>
    <t xml:space="preserve">Valuation Risk Flag</t>
  </si>
  <si>
    <t xml:space="preserve">47-2181</t>
  </si>
  <si>
    <t xml:space="preserve">Roofers</t>
  </si>
  <si>
    <t xml:space="preserve">47-1011</t>
  </si>
  <si>
    <t xml:space="preserve">First-Line Supervisors of Construction Trades</t>
  </si>
  <si>
    <t xml:space="preserve">47-2061</t>
  </si>
  <si>
    <t xml:space="preserve">Construction Laborers</t>
  </si>
  <si>
    <t xml:space="preserve">47-2211</t>
  </si>
  <si>
    <t xml:space="preserve">Sheet Metal Workers</t>
  </si>
  <si>
    <t xml:space="preserve">47-3016</t>
  </si>
  <si>
    <t xml:space="preserve">Helpers—Roofers</t>
  </si>
  <si>
    <t xml:space="preserve">47-2031</t>
  </si>
  <si>
    <t xml:space="preserve">Carpenters</t>
  </si>
  <si>
    <t xml:space="preserve">47-2073</t>
  </si>
  <si>
    <t xml:space="preserve">Operating Engineers/Construction Equipment Ops</t>
  </si>
  <si>
    <t xml:space="preserve">47-2231</t>
  </si>
  <si>
    <t xml:space="preserve">Solar Photovoltaic Installers</t>
  </si>
  <si>
    <t xml:space="preserve">47-2111</t>
  </si>
  <si>
    <t xml:space="preserve">Electricians</t>
  </si>
  <si>
    <t xml:space="preserve">47-2131</t>
  </si>
  <si>
    <t xml:space="preserve">Insulation Workers (Floor/Ceiling/Wall)</t>
  </si>
  <si>
    <t xml:space="preserve">13-1051</t>
  </si>
  <si>
    <t xml:space="preserve">Cost Estimators</t>
  </si>
  <si>
    <t xml:space="preserve">41-3091</t>
  </si>
  <si>
    <t xml:space="preserve">Sales Representatives of Services</t>
  </si>
  <si>
    <t xml:space="preserve">43-9061</t>
  </si>
  <si>
    <t xml:space="preserve">Office Clerks, General</t>
  </si>
  <si>
    <t xml:space="preserve">43-6014</t>
  </si>
  <si>
    <t xml:space="preserve">Secretaries/Admin Assistants</t>
  </si>
  <si>
    <t xml:space="preserve">43-3031</t>
  </si>
  <si>
    <t xml:space="preserve">Bookkeeping/Accounting/Auditing Clerks</t>
  </si>
  <si>
    <t xml:space="preserve">13-1082</t>
  </si>
  <si>
    <t xml:space="preserve">Project Management Specialists</t>
  </si>
  <si>
    <t xml:space="preserve">43-1011</t>
  </si>
  <si>
    <t xml:space="preserve">First-Line Supervisors of Office Workers</t>
  </si>
  <si>
    <t xml:space="preserve">43-4171</t>
  </si>
  <si>
    <t xml:space="preserve">Receptionists and Information Clerks</t>
  </si>
  <si>
    <t xml:space="preserve">11-2022</t>
  </si>
  <si>
    <t xml:space="preserve">Sales Managers</t>
  </si>
  <si>
    <t xml:space="preserve">43-4051</t>
  </si>
  <si>
    <t xml:space="preserve">Customer Service Representatives</t>
  </si>
  <si>
    <t xml:space="preserve">13-1071</t>
  </si>
  <si>
    <t xml:space="preserve">Human Resources Specialists</t>
  </si>
  <si>
    <t xml:space="preserve">43-3051</t>
  </si>
  <si>
    <t xml:space="preserve">Payroll &amp; Timekeeping Clerks</t>
  </si>
  <si>
    <t xml:space="preserve">43-5032</t>
  </si>
  <si>
    <t xml:space="preserve">Dispatchers</t>
  </si>
  <si>
    <t xml:space="preserve">11-1021</t>
  </si>
  <si>
    <t xml:space="preserve">General and Operations Managers</t>
  </si>
  <si>
    <t xml:space="preserve">11-9021</t>
  </si>
  <si>
    <t xml:space="preserve">Construction Managers</t>
  </si>
  <si>
    <t xml:space="preserve">13-2011</t>
  </si>
  <si>
    <t xml:space="preserve">Accountants and Auditors</t>
  </si>
  <si>
    <t xml:space="preserve">11-3031</t>
  </si>
  <si>
    <t xml:space="preserve">Financial Managers</t>
  </si>
  <si>
    <t xml:space="preserve">11-1011</t>
  </si>
  <si>
    <t xml:space="preserve">Chief Executives</t>
  </si>
  <si>
    <t xml:space="preserve">19-5011</t>
  </si>
  <si>
    <t xml:space="preserve">Occupational Health and Safety Specialists</t>
  </si>
  <si>
    <t xml:space="preserve">53-3032</t>
  </si>
  <si>
    <t xml:space="preserve">Heavy &amp; Tractor-Trailer Truck Drivers</t>
  </si>
  <si>
    <t xml:space="preserve">53-3033</t>
  </si>
  <si>
    <t xml:space="preserve">Light Truck Drivers</t>
  </si>
  <si>
    <t xml:space="preserve">49-3042</t>
  </si>
  <si>
    <t xml:space="preserve">Mobile Heavy Equipment Mechanics</t>
  </si>
  <si>
    <t xml:space="preserve">53-7021</t>
  </si>
  <si>
    <t xml:space="preserve">Crane and Tower Operators</t>
  </si>
  <si>
    <t xml:space="preserve">49-3031</t>
  </si>
  <si>
    <t xml:space="preserve">Bus/Truck Mechanics &amp; Diesel Specialists</t>
  </si>
  <si>
    <t xml:space="preserve">49-9071</t>
  </si>
  <si>
    <t xml:space="preserve">Maintenance and Repair Workers, General</t>
  </si>
  <si>
    <t xml:space="preserve">FULLY LOADED LABOR COST CALCULATOR</t>
  </si>
  <si>
    <t xml:space="preserve">Calculates true cost per employee for gross margin and EBITDA analysis (PE buyer diligence focus)</t>
  </si>
  <si>
    <t xml:space="preserve">BURDEN RATE ASSUMPTIONS</t>
  </si>
  <si>
    <t xml:space="preserve">Employer FICA (Social Security 6.2% + Medicare 1.45%)</t>
  </si>
  <si>
    <t xml:space="preserve">Federal Unemployment (FUTA)</t>
  </si>
  <si>
    <t xml:space="preserve">State Unemployment (SUTA) - varies by state</t>
  </si>
  <si>
    <t xml:space="preserve">Workers' Compensation (roofing = high risk)</t>
  </si>
  <si>
    <t xml:space="preserve">Health Insurance (employer portion avg)</t>
  </si>
  <si>
    <t xml:space="preserve">Other Benefits (401k match, PTO, etc.)</t>
  </si>
  <si>
    <t xml:space="preserve">TOTAL BURDEN RATE</t>
  </si>
  <si>
    <t xml:space="preserve">EMPLOYEE LOADED COST CALCULATOR</t>
  </si>
  <si>
    <t xml:space="preserve">Position</t>
  </si>
  <si>
    <t xml:space="preserve">Annual Base Salary</t>
  </si>
  <si>
    <t xml:space="preserve">Burden Rate</t>
  </si>
  <si>
    <t xml:space="preserve">Burden Cost</t>
  </si>
  <si>
    <t xml:space="preserve">Fully Loaded Cost</t>
  </si>
  <si>
    <t xml:space="preserve">Hourly Loaded</t>
  </si>
  <si>
    <t xml:space="preserve">Notes</t>
  </si>
  <si>
    <t xml:space="preserve">Roofer (Journeyman)</t>
  </si>
  <si>
    <t xml:space="preserve">Adjust base salary for your market</t>
  </si>
  <si>
    <t xml:space="preserve">Roofer Helper</t>
  </si>
  <si>
    <t xml:space="preserve">Field Supervisor</t>
  </si>
  <si>
    <t xml:space="preserve">Estimator</t>
  </si>
  <si>
    <t xml:space="preserve">Office Admin</t>
  </si>
  <si>
    <t xml:space="preserve">Sales Rep</t>
  </si>
  <si>
    <t xml:space="preserve">General Manager</t>
  </si>
  <si>
    <t xml:space="preserve">Construction Manager</t>
  </si>
  <si>
    <t xml:space="preserve">SALARY-DRIVEN VALUATION RISK ASSESSMENT</t>
  </si>
  <si>
    <t xml:space="preserve">PE buyers evaluate compensation during diligence - these factors impact EBITDA multiples</t>
  </si>
  <si>
    <t xml:space="preserve">Risk Factor</t>
  </si>
  <si>
    <t xml:space="preserve">Impact</t>
  </si>
  <si>
    <t xml:space="preserve">What PE Buyers Look For</t>
  </si>
  <si>
    <t xml:space="preserve">Multiple Impact</t>
  </si>
  <si>
    <t xml:space="preserve">Below-Market Pay (Field)</t>
  </si>
  <si>
    <t xml:space="preserve">HIGH</t>
  </si>
  <si>
    <t xml:space="preserve">Turnover risk, crew quality issues, safety incidents</t>
  </si>
  <si>
    <t xml:space="preserve">-0.5x to -1.0x EBITDA</t>
  </si>
  <si>
    <t xml:space="preserve">Below-Market Pay (Supervisors)</t>
  </si>
  <si>
    <t xml:space="preserve">CRITICAL</t>
  </si>
  <si>
    <t xml:space="preserve">Production quality, schedule slippage, rework</t>
  </si>
  <si>
    <t xml:space="preserve">-0.5x to -1.5x EBITDA</t>
  </si>
  <si>
    <t xml:space="preserve">Above-Market Pay (No Metrics)</t>
  </si>
  <si>
    <t xml:space="preserve">MEDIUM</t>
  </si>
  <si>
    <t xml:space="preserve">Margin compression, overstaffing</t>
  </si>
  <si>
    <t xml:space="preserve">-0.25x to -0.5x EBITDA</t>
  </si>
  <si>
    <t xml:space="preserve">High Turnover (&gt;30%)</t>
  </si>
  <si>
    <t xml:space="preserve">Training costs, productivity loss, customer disruption</t>
  </si>
  <si>
    <t xml:space="preserve">Owner-Dependent Operations</t>
  </si>
  <si>
    <t xml:space="preserve">Key person risk, transition concerns</t>
  </si>
  <si>
    <t xml:space="preserve">-1.0x to -2.0x EBITDA</t>
  </si>
  <si>
    <t xml:space="preserve">No Documented Pay Scales</t>
  </si>
  <si>
    <t xml:space="preserve">Inconsistent compensation, compliance risk</t>
  </si>
  <si>
    <t xml:space="preserve">VALUE DRIVERS (Multiple Expansion Opportunities)</t>
  </si>
  <si>
    <t xml:space="preserve">Value Driver</t>
  </si>
  <si>
    <t xml:space="preserve">Evidence Required</t>
  </si>
  <si>
    <t xml:space="preserve">Premium Pay + Low Turnover</t>
  </si>
  <si>
    <t xml:space="preserve">Pay at P75+, turnover &lt;15%, tenure data</t>
  </si>
  <si>
    <t xml:space="preserve">+0.25x to +0.5x EBITDA</t>
  </si>
  <si>
    <t xml:space="preserve">Documented SOPs &amp; Training</t>
  </si>
  <si>
    <t xml:space="preserve">Written procedures, training records</t>
  </si>
  <si>
    <t xml:space="preserve">+0.25x EBITDA</t>
  </si>
  <si>
    <t xml:space="preserve">Safety Program (EMR &lt; 1.0)</t>
  </si>
  <si>
    <t xml:space="preserve">OSHA compliance, low incident rate</t>
  </si>
  <si>
    <t xml:space="preserve">Non-Owner Management</t>
  </si>
  <si>
    <t xml:space="preserve">GM/Ops Manager with P&amp;L responsibility</t>
  </si>
  <si>
    <t xml:space="preserve">+0.5x to +1.0x EBITDA</t>
  </si>
  <si>
    <t xml:space="preserve">Bench Strength</t>
  </si>
  <si>
    <t xml:space="preserve">Successors identified, cross-training</t>
  </si>
  <si>
    <t xml:space="preserve">COMPLETE BLS OEWS DATA - NAICS 238160 ROOFING CONTRACTORS (May 2023)</t>
  </si>
  <si>
    <t xml:space="preserve">Occupation Title</t>
  </si>
  <si>
    <t xml:space="preserve">Level</t>
  </si>
  <si>
    <t xml:space="preserve">Employment</t>
  </si>
  <si>
    <t xml:space="preserve">Median Hourly</t>
  </si>
  <si>
    <t xml:space="preserve">Mean Hourly</t>
  </si>
  <si>
    <t xml:space="preserve">Annual Mean</t>
  </si>
  <si>
    <t xml:space="preserve">Source</t>
  </si>
  <si>
    <t xml:space="preserve">00-0000</t>
  </si>
  <si>
    <t xml:space="preserve">All Occupations</t>
  </si>
  <si>
    <t xml:space="preserve">total</t>
  </si>
  <si>
    <t xml:space="preserve">BLS OEWS May 2023</t>
  </si>
  <si>
    <t xml:space="preserve">11-0000</t>
  </si>
  <si>
    <t xml:space="preserve">Management Occupations</t>
  </si>
  <si>
    <t xml:space="preserve">major</t>
  </si>
  <si>
    <t xml:space="preserve">detail</t>
  </si>
  <si>
    <t xml:space="preserve">13-0000</t>
  </si>
  <si>
    <t xml:space="preserve">Business and Financial Operations</t>
  </si>
  <si>
    <t xml:space="preserve">41-0000</t>
  </si>
  <si>
    <t xml:space="preserve">Sales and Related Occupations</t>
  </si>
  <si>
    <t xml:space="preserve">41-4012</t>
  </si>
  <si>
    <t xml:space="preserve">Sales Reps Wholesale/Mfg</t>
  </si>
  <si>
    <t xml:space="preserve">43-0000</t>
  </si>
  <si>
    <t xml:space="preserve">Office and Administrative Support</t>
  </si>
  <si>
    <t xml:space="preserve">Bookkeeping/Accounting Clerks</t>
  </si>
  <si>
    <t xml:space="preserve">First-Line Supervisors Office Workers</t>
  </si>
  <si>
    <t xml:space="preserve">Receptionists</t>
  </si>
  <si>
    <t xml:space="preserve">47-0000</t>
  </si>
  <si>
    <t xml:space="preserve">Construction and Extraction</t>
  </si>
  <si>
    <t xml:space="preserve">First-Line Supervisors Construction</t>
  </si>
  <si>
    <t xml:space="preserve">Operating Engineers</t>
  </si>
  <si>
    <t xml:space="preserve">49-0000</t>
  </si>
  <si>
    <t xml:space="preserve">Installation, Maintenance, Repair</t>
  </si>
  <si>
    <t xml:space="preserve">Maintenance/Repair Workers General</t>
  </si>
  <si>
    <t xml:space="preserve">Bus/Truck Mechanics</t>
  </si>
  <si>
    <t xml:space="preserve">53-0000</t>
  </si>
  <si>
    <t xml:space="preserve">Transportation and Material Moving</t>
  </si>
  <si>
    <t xml:space="preserve">Heavy/Tractor-Trailer Truck Drivers</t>
  </si>
  <si>
    <t xml:space="preserve">Occupational Health/Safety Specialists</t>
  </si>
  <si>
    <t xml:space="preserve">ROOFING CONTRACTOR STAFFING MODEL BY REVENUE TIER</t>
  </si>
  <si>
    <t xml:space="preserve">Typical staffing ratios based on industry benchmarks and BLS employment distribution</t>
  </si>
  <si>
    <t xml:space="preserve">Position Category</t>
  </si>
  <si>
    <t xml:space="preserve">$1M Revenue</t>
  </si>
  <si>
    <t xml:space="preserve">$2.5M Revenue</t>
  </si>
  <si>
    <t xml:space="preserve">$5M Revenue</t>
  </si>
  <si>
    <t xml:space="preserve">$10M Revenue</t>
  </si>
  <si>
    <t xml:space="preserve">$25M Revenue</t>
  </si>
  <si>
    <t xml:space="preserve">% of Total Staff</t>
  </si>
  <si>
    <t xml:space="preserve">Field Production</t>
  </si>
  <si>
    <t xml:space="preserve">  Roofers (Journeymen)</t>
  </si>
  <si>
    <t xml:space="preserve">50%</t>
  </si>
  <si>
    <t xml:space="preserve">  Helpers/Laborers</t>
  </si>
  <si>
    <t xml:space="preserve">12%</t>
  </si>
  <si>
    <t xml:space="preserve">  Field Supervisors/Foremen</t>
  </si>
  <si>
    <t xml:space="preserve">9%</t>
  </si>
  <si>
    <t xml:space="preserve">Estimating &amp; Sales</t>
  </si>
  <si>
    <t xml:space="preserve">  Estimators</t>
  </si>
  <si>
    <t xml:space="preserve">3%</t>
  </si>
  <si>
    <t xml:space="preserve">  Sales Representatives</t>
  </si>
  <si>
    <t xml:space="preserve">Office &amp; Admin</t>
  </si>
  <si>
    <t xml:space="preserve">  Office Clerks/Admin</t>
  </si>
  <si>
    <t xml:space="preserve">11%</t>
  </si>
  <si>
    <t xml:space="preserve">  Bookkeeper/Accounting</t>
  </si>
  <si>
    <t xml:space="preserve">2%</t>
  </si>
  <si>
    <t xml:space="preserve">  Customer Service</t>
  </si>
  <si>
    <t xml:space="preserve">1%</t>
  </si>
  <si>
    <t xml:space="preserve">Management</t>
  </si>
  <si>
    <t xml:space="preserve">  General Manager</t>
  </si>
  <si>
    <t xml:space="preserve">4%</t>
  </si>
  <si>
    <t xml:space="preserve">  Construction Manager</t>
  </si>
  <si>
    <t xml:space="preserve">  Office Manager</t>
  </si>
  <si>
    <t xml:space="preserve">Logistics</t>
  </si>
  <si>
    <t xml:space="preserve">  Truck Drivers</t>
  </si>
  <si>
    <t xml:space="preserve">TOTAL HEADCOUNT</t>
  </si>
  <si>
    <t xml:space="preserve">100%</t>
  </si>
  <si>
    <t xml:space="preserve">Revenue per Employee</t>
  </si>
  <si>
    <t xml:space="preserve">$125K</t>
  </si>
  <si>
    <t xml:space="preserve">$109K</t>
  </si>
  <si>
    <t xml:space="preserve">$114K</t>
  </si>
  <si>
    <t xml:space="preserve">$116K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</si>
</sst>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0%"/>
    <numFmt numFmtId="167" formatCode="\$#,##0.00"/>
    <numFmt numFmtId="168" formatCode="0.0%;\(0.0%\);\-"/>
    <numFmt numFmtId="169" formatCode="\$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9"/>
      <name val="Cambria"/>
      <family val="0"/>
      <charset val="1"/>
    </font>
    <font>
      <i val="true"/>
      <sz val="10"/>
      <name val="Cambria"/>
      <family val="0"/>
      <charset val="1"/>
    </font>
    <font>
      <b val="true"/>
      <sz val="11"/>
      <color rgb="FF1F4E79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4"/>
      <name val="Cambria"/>
      <family val="0"/>
      <charset val="1"/>
    </font>
    <font>
      <b val="true"/>
      <sz val="14"/>
      <color rgb="FF1F4E79"/>
      <name val="Cambria"/>
      <family val="0"/>
      <charset val="1"/>
    </font>
    <font>
      <i val="true"/>
      <sz val="11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EB9C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FFC7CE"/>
        <bgColor rgb="FFFFEB9C"/>
      </patternFill>
    </fill>
    <fill>
      <patternFill patternType="solid">
        <fgColor rgb="FFC6EFCE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2"/>
    <col collapsed="false" customWidth="true" hidden="false" outlineLevel="0" max="4" min="3" style="0" width="12"/>
    <col collapsed="false" customWidth="true" hidden="false" outlineLevel="0" max="6" min="5" style="0" width="16"/>
    <col collapsed="false" customWidth="true" hidden="false" outlineLevel="0" max="7" min="7" style="0" width="12"/>
    <col collapsed="false" customWidth="true" hidden="false" outlineLevel="0" max="8" min="8" style="0" width="18"/>
    <col collapsed="false" customWidth="true" hidden="false" outlineLevel="0" max="12" min="9" style="0" width="12"/>
    <col collapsed="false" customWidth="true" hidden="false" outlineLevel="0" max="13" min="13" style="0" width="14"/>
    <col collapsed="false" customWidth="true" hidden="false" outlineLevel="0" max="14" min="14" style="0" width="18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15" hidden="false" customHeight="false" outlineLevel="0" collapsed="false">
      <c r="A4" s="3" t="s">
        <v>2</v>
      </c>
    </row>
    <row r="6" customFormat="false" ht="28.35" hidden="false" customHeight="false" outlineLevel="0" collapsed="false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4" t="s">
        <v>8</v>
      </c>
      <c r="G6" s="4" t="s">
        <v>9</v>
      </c>
      <c r="H6" s="4" t="s">
        <v>10</v>
      </c>
      <c r="I6" s="4" t="s">
        <v>11</v>
      </c>
      <c r="J6" s="4" t="s">
        <v>12</v>
      </c>
      <c r="K6" s="4" t="s">
        <v>13</v>
      </c>
      <c r="L6" s="4" t="s">
        <v>14</v>
      </c>
      <c r="M6" s="4" t="s">
        <v>15</v>
      </c>
      <c r="N6" s="4" t="s">
        <v>16</v>
      </c>
    </row>
    <row r="7" customFormat="false" ht="15" hidden="false" customHeight="false" outlineLevel="0" collapsed="false">
      <c r="A7" s="5" t="s">
        <v>17</v>
      </c>
      <c r="B7" s="5" t="s">
        <v>18</v>
      </c>
      <c r="C7" s="6" t="n">
        <v>119950</v>
      </c>
      <c r="D7" s="7" t="n">
        <v>0.5033</v>
      </c>
      <c r="E7" s="8" t="n">
        <v>24.01</v>
      </c>
      <c r="F7" s="9"/>
      <c r="G7" s="10" t="str">
        <f aca="false">IF(F7="","",((F7-E7)/E7))</f>
        <v/>
      </c>
      <c r="H7" s="5" t="str">
        <f aca="false">IF(F7="","",IF(F7&lt;J7,"Below Market",IF(F7&lt;K7,"Market (P25-P75)",IF(F7&lt;L7,"Above Market","Premium"))))</f>
        <v/>
      </c>
      <c r="I7" s="8" t="n">
        <v>17.57</v>
      </c>
      <c r="J7" s="8" t="n">
        <v>21.24</v>
      </c>
      <c r="K7" s="8" t="n">
        <v>29.91</v>
      </c>
      <c r="L7" s="8" t="n">
        <v>35.8</v>
      </c>
      <c r="M7" s="11" t="n">
        <v>49940</v>
      </c>
      <c r="N7" s="5" t="str">
        <f aca="false">IF(F7="","",IF(F7&lt;J7,"⚠️ CHURN RISK",IF(F7&gt;L7,"⚠️ MARGIN RISK","✓ Market Rate")))</f>
        <v/>
      </c>
    </row>
    <row r="8" customFormat="false" ht="15" hidden="false" customHeight="false" outlineLevel="0" collapsed="false">
      <c r="A8" s="5" t="s">
        <v>19</v>
      </c>
      <c r="B8" s="5" t="s">
        <v>20</v>
      </c>
      <c r="C8" s="6" t="n">
        <v>20680</v>
      </c>
      <c r="D8" s="7" t="n">
        <v>0.0868</v>
      </c>
      <c r="E8" s="8" t="n">
        <v>30.65</v>
      </c>
      <c r="F8" s="9"/>
      <c r="G8" s="10" t="str">
        <f aca="false">IF(F8="","",((F8-E8)/E8))</f>
        <v/>
      </c>
      <c r="H8" s="5" t="str">
        <f aca="false">IF(F8="","",IF(F8&lt;J8,"Below Market",IF(F8&lt;K8,"Market (P25-P75)",IF(F8&lt;L8,"Above Market","Premium"))))</f>
        <v/>
      </c>
      <c r="I8" s="8" t="n">
        <v>23.7</v>
      </c>
      <c r="J8" s="8" t="n">
        <v>27.29</v>
      </c>
      <c r="K8" s="8" t="n">
        <v>37.84</v>
      </c>
      <c r="L8" s="8" t="n">
        <v>45.81</v>
      </c>
      <c r="M8" s="11" t="n">
        <v>63750</v>
      </c>
      <c r="N8" s="5" t="str">
        <f aca="false">IF(F8="","",IF(F8&lt;J8,"⚠️ CHURN RISK",IF(F8&gt;L8,"⚠️ MARGIN RISK","✓ Market Rate")))</f>
        <v/>
      </c>
    </row>
    <row r="9" customFormat="false" ht="15" hidden="false" customHeight="false" outlineLevel="0" collapsed="false">
      <c r="A9" s="5" t="s">
        <v>21</v>
      </c>
      <c r="B9" s="5" t="s">
        <v>22</v>
      </c>
      <c r="C9" s="6" t="n">
        <v>7530</v>
      </c>
      <c r="D9" s="7" t="n">
        <v>0.0316</v>
      </c>
      <c r="E9" s="8" t="n">
        <v>19.95</v>
      </c>
      <c r="F9" s="9"/>
      <c r="G9" s="10" t="str">
        <f aca="false">IF(F9="","",((F9-E9)/E9))</f>
        <v/>
      </c>
      <c r="H9" s="5" t="str">
        <f aca="false">IF(F9="","",IF(F9&lt;J9,"Below Market",IF(F9&lt;K9,"Market (P25-P75)",IF(F9&lt;L9,"Above Market","Premium"))))</f>
        <v/>
      </c>
      <c r="I9" s="8" t="n">
        <v>15.64</v>
      </c>
      <c r="J9" s="8" t="n">
        <v>17.75</v>
      </c>
      <c r="K9" s="8" t="n">
        <v>23.24</v>
      </c>
      <c r="L9" s="8" t="n">
        <v>27.5</v>
      </c>
      <c r="M9" s="11" t="n">
        <v>41500</v>
      </c>
      <c r="N9" s="5" t="str">
        <f aca="false">IF(F9="","",IF(F9&lt;J9,"⚠️ CHURN RISK",IF(F9&gt;L9,"⚠️ MARGIN RISK","✓ Market Rate")))</f>
        <v/>
      </c>
    </row>
    <row r="10" customFormat="false" ht="15" hidden="false" customHeight="false" outlineLevel="0" collapsed="false">
      <c r="A10" s="5" t="s">
        <v>23</v>
      </c>
      <c r="B10" s="5" t="s">
        <v>24</v>
      </c>
      <c r="C10" s="6" t="n">
        <v>6590</v>
      </c>
      <c r="D10" s="7" t="n">
        <v>0.0277</v>
      </c>
      <c r="E10" s="8" t="n">
        <v>26.78</v>
      </c>
      <c r="F10" s="9"/>
      <c r="G10" s="10" t="str">
        <f aca="false">IF(F10="","",((F10-E10)/E10))</f>
        <v/>
      </c>
      <c r="H10" s="5" t="str">
        <f aca="false">IF(F10="","",IF(F10&lt;J10,"Below Market",IF(F10&lt;K10,"Market (P25-P75)",IF(F10&lt;L10,"Above Market","Premium"))))</f>
        <v/>
      </c>
      <c r="I10" s="8" t="n">
        <v>18.47</v>
      </c>
      <c r="J10" s="8" t="n">
        <v>21.99</v>
      </c>
      <c r="K10" s="8" t="n">
        <v>34.71</v>
      </c>
      <c r="L10" s="8" t="n">
        <v>42.47</v>
      </c>
      <c r="M10" s="11" t="n">
        <v>55700</v>
      </c>
      <c r="N10" s="5" t="str">
        <f aca="false">IF(F10="","",IF(F10&lt;J10,"⚠️ CHURN RISK",IF(F10&gt;L10,"⚠️ MARGIN RISK","✓ Market Rate")))</f>
        <v/>
      </c>
    </row>
    <row r="11" customFormat="false" ht="15" hidden="false" customHeight="false" outlineLevel="0" collapsed="false">
      <c r="A11" s="5" t="s">
        <v>25</v>
      </c>
      <c r="B11" s="5" t="s">
        <v>26</v>
      </c>
      <c r="C11" s="6" t="n">
        <v>4320</v>
      </c>
      <c r="D11" s="7" t="n">
        <v>0.0181</v>
      </c>
      <c r="E11" s="8" t="n">
        <v>18.62</v>
      </c>
      <c r="F11" s="9"/>
      <c r="G11" s="10" t="str">
        <f aca="false">IF(F11="","",((F11-E11)/E11))</f>
        <v/>
      </c>
      <c r="H11" s="5" t="str">
        <f aca="false">IF(F11="","",IF(F11&lt;J11,"Below Market",IF(F11&lt;K11,"Market (P25-P75)",IF(F11&lt;L11,"Above Market","Premium"))))</f>
        <v/>
      </c>
      <c r="I11" s="8" t="n">
        <v>15</v>
      </c>
      <c r="J11" s="8" t="n">
        <v>16.83</v>
      </c>
      <c r="K11" s="8" t="n">
        <v>22</v>
      </c>
      <c r="L11" s="8" t="n">
        <v>25.89</v>
      </c>
      <c r="M11" s="11" t="n">
        <v>38720</v>
      </c>
      <c r="N11" s="5" t="str">
        <f aca="false">IF(F11="","",IF(F11&lt;J11,"⚠️ CHURN RISK",IF(F11&gt;L11,"⚠️ MARGIN RISK","✓ Market Rate")))</f>
        <v/>
      </c>
    </row>
    <row r="12" customFormat="false" ht="15" hidden="false" customHeight="false" outlineLevel="0" collapsed="false">
      <c r="A12" s="5" t="s">
        <v>27</v>
      </c>
      <c r="B12" s="5" t="s">
        <v>28</v>
      </c>
      <c r="C12" s="6" t="n">
        <v>2370</v>
      </c>
      <c r="D12" s="7" t="n">
        <v>0.01</v>
      </c>
      <c r="E12" s="8" t="n">
        <v>25.92</v>
      </c>
      <c r="F12" s="9"/>
      <c r="G12" s="10" t="str">
        <f aca="false">IF(F12="","",((F12-E12)/E12))</f>
        <v/>
      </c>
      <c r="H12" s="5" t="str">
        <f aca="false">IF(F12="","",IF(F12&lt;J12,"Below Market",IF(F12&lt;K12,"Market (P25-P75)",IF(F12&lt;L12,"Above Market","Premium"))))</f>
        <v/>
      </c>
      <c r="I12" s="8" t="n">
        <v>18.28</v>
      </c>
      <c r="J12" s="8" t="n">
        <v>22</v>
      </c>
      <c r="K12" s="8" t="n">
        <v>33.61</v>
      </c>
      <c r="L12" s="8" t="n">
        <v>41.02</v>
      </c>
      <c r="M12" s="11" t="n">
        <v>53920</v>
      </c>
      <c r="N12" s="5" t="str">
        <f aca="false">IF(F12="","",IF(F12&lt;J12,"⚠️ CHURN RISK",IF(F12&gt;L12,"⚠️ MARGIN RISK","✓ Market Rate")))</f>
        <v/>
      </c>
    </row>
    <row r="13" customFormat="false" ht="15" hidden="false" customHeight="false" outlineLevel="0" collapsed="false">
      <c r="A13" s="5" t="s">
        <v>29</v>
      </c>
      <c r="B13" s="5" t="s">
        <v>30</v>
      </c>
      <c r="C13" s="6" t="n">
        <v>130</v>
      </c>
      <c r="D13" s="7" t="n">
        <v>0.0005</v>
      </c>
      <c r="E13" s="8" t="n">
        <v>33.92</v>
      </c>
      <c r="F13" s="9"/>
      <c r="G13" s="10" t="str">
        <f aca="false">IF(F13="","",((F13-E13)/E13))</f>
        <v/>
      </c>
      <c r="H13" s="5" t="str">
        <f aca="false">IF(F13="","",IF(F13&lt;J13,"Below Market",IF(F13&lt;K13,"Market (P25-P75)",IF(F13&lt;L13,"Above Market","Premium"))))</f>
        <v/>
      </c>
      <c r="I13" s="8" t="n">
        <v>20.57</v>
      </c>
      <c r="J13" s="8" t="n">
        <v>23.9</v>
      </c>
      <c r="K13" s="8" t="n">
        <v>38</v>
      </c>
      <c r="L13" s="8" t="n">
        <v>41.69</v>
      </c>
      <c r="M13" s="11" t="n">
        <v>70560</v>
      </c>
      <c r="N13" s="5" t="str">
        <f aca="false">IF(F13="","",IF(F13&lt;J13,"⚠️ CHURN RISK",IF(F13&gt;L13,"⚠️ MARGIN RISK","✓ Market Rate")))</f>
        <v/>
      </c>
    </row>
    <row r="14" customFormat="false" ht="15" hidden="false" customHeight="false" outlineLevel="0" collapsed="false">
      <c r="A14" s="5" t="s">
        <v>31</v>
      </c>
      <c r="B14" s="5" t="s">
        <v>32</v>
      </c>
      <c r="C14" s="6" t="n">
        <v>180</v>
      </c>
      <c r="D14" s="7" t="n">
        <v>0.0007</v>
      </c>
      <c r="E14" s="8" t="n">
        <v>26.72</v>
      </c>
      <c r="F14" s="9"/>
      <c r="G14" s="10" t="str">
        <f aca="false">IF(F14="","",((F14-E14)/E14))</f>
        <v/>
      </c>
      <c r="H14" s="5" t="str">
        <f aca="false">IF(F14="","",IF(F14&lt;J14,"Below Market",IF(F14&lt;K14,"Market (P25-P75)",IF(F14&lt;L14,"Above Market","Premium"))))</f>
        <v/>
      </c>
      <c r="I14" s="8" t="n">
        <v>18.85</v>
      </c>
      <c r="J14" s="8" t="n">
        <v>22.06</v>
      </c>
      <c r="K14" s="8" t="n">
        <v>32.62</v>
      </c>
      <c r="L14" s="8" t="n">
        <v>38.05</v>
      </c>
      <c r="M14" s="11" t="n">
        <v>54470</v>
      </c>
      <c r="N14" s="5" t="str">
        <f aca="false">IF(F14="","",IF(F14&lt;J14,"⚠️ CHURN RISK",IF(F14&gt;L14,"⚠️ MARGIN RISK","✓ Market Rate")))</f>
        <v/>
      </c>
    </row>
    <row r="15" customFormat="false" ht="15" hidden="false" customHeight="false" outlineLevel="0" collapsed="false">
      <c r="A15" s="5" t="s">
        <v>33</v>
      </c>
      <c r="B15" s="5" t="s">
        <v>34</v>
      </c>
      <c r="C15" s="6" t="n">
        <v>170</v>
      </c>
      <c r="D15" s="7" t="n">
        <v>0.0007</v>
      </c>
      <c r="E15" s="8" t="n">
        <v>25.4</v>
      </c>
      <c r="F15" s="9"/>
      <c r="G15" s="10" t="str">
        <f aca="false">IF(F15="","",((F15-E15)/E15))</f>
        <v/>
      </c>
      <c r="H15" s="5" t="str">
        <f aca="false">IF(F15="","",IF(F15&lt;J15,"Below Market",IF(F15&lt;K15,"Market (P25-P75)",IF(F15&lt;L15,"Above Market","Premium"))))</f>
        <v/>
      </c>
      <c r="I15" s="8" t="n">
        <v>18.53</v>
      </c>
      <c r="J15" s="8" t="n">
        <v>21.04</v>
      </c>
      <c r="K15" s="8" t="n">
        <v>33.35</v>
      </c>
      <c r="L15" s="8" t="n">
        <v>40.96</v>
      </c>
      <c r="M15" s="11" t="n">
        <v>57570</v>
      </c>
      <c r="N15" s="5" t="str">
        <f aca="false">IF(F15="","",IF(F15&lt;J15,"⚠️ CHURN RISK",IF(F15&gt;L15,"⚠️ MARGIN RISK","✓ Market Rate")))</f>
        <v/>
      </c>
    </row>
    <row r="16" customFormat="false" ht="15" hidden="false" customHeight="false" outlineLevel="0" collapsed="false">
      <c r="A16" s="5" t="s">
        <v>35</v>
      </c>
      <c r="B16" s="5" t="s">
        <v>36</v>
      </c>
      <c r="C16" s="6" t="n">
        <v>200</v>
      </c>
      <c r="D16" s="7" t="n">
        <v>0.0009</v>
      </c>
      <c r="E16" s="8" t="n">
        <v>20.29</v>
      </c>
      <c r="F16" s="9"/>
      <c r="G16" s="10" t="str">
        <f aca="false">IF(F16="","",((F16-E16)/E16))</f>
        <v/>
      </c>
      <c r="H16" s="5" t="str">
        <f aca="false">IF(F16="","",IF(F16&lt;J16,"Below Market",IF(F16&lt;K16,"Market (P25-P75)",IF(F16&lt;L16,"Above Market","Premium"))))</f>
        <v/>
      </c>
      <c r="I16" s="8" t="n">
        <v>15.64</v>
      </c>
      <c r="J16" s="8" t="n">
        <v>17.22</v>
      </c>
      <c r="K16" s="8" t="n">
        <v>27.35</v>
      </c>
      <c r="L16" s="8" t="n">
        <v>34.08</v>
      </c>
      <c r="M16" s="11" t="n">
        <v>47470</v>
      </c>
      <c r="N16" s="5" t="str">
        <f aca="false">IF(F16="","",IF(F16&lt;J16,"⚠️ CHURN RISK",IF(F16&gt;L16,"⚠️ MARGIN RISK","✓ Market Rate")))</f>
        <v/>
      </c>
    </row>
    <row r="17" customFormat="false" ht="15" hidden="false" customHeight="false" outlineLevel="0" collapsed="false">
      <c r="A17" s="5" t="s">
        <v>37</v>
      </c>
      <c r="B17" s="5" t="s">
        <v>38</v>
      </c>
      <c r="C17" s="6" t="n">
        <v>6410</v>
      </c>
      <c r="D17" s="7" t="n">
        <v>0.0269</v>
      </c>
      <c r="E17" s="8" t="n">
        <v>36.62</v>
      </c>
      <c r="F17" s="9"/>
      <c r="G17" s="10" t="str">
        <f aca="false">IF(F17="","",((F17-E17)/E17))</f>
        <v/>
      </c>
      <c r="H17" s="5" t="str">
        <f aca="false">IF(F17="","",IF(F17&lt;J17,"Below Market",IF(F17&lt;K17,"Market (P25-P75)",IF(F17&lt;L17,"Above Market","Premium"))))</f>
        <v/>
      </c>
      <c r="I17" s="8" t="n">
        <v>23.18</v>
      </c>
      <c r="J17" s="8" t="n">
        <v>28.73</v>
      </c>
      <c r="K17" s="8" t="n">
        <v>44.29</v>
      </c>
      <c r="L17" s="8" t="n">
        <v>54.72</v>
      </c>
      <c r="M17" s="11" t="n">
        <v>76180</v>
      </c>
      <c r="N17" s="5" t="str">
        <f aca="false">IF(F17="","",IF(F17&lt;J17,"⚠️ CHURN RISK",IF(F17&gt;L17,"⚠️ MARGIN RISK","✓ Market Rate")))</f>
        <v/>
      </c>
    </row>
    <row r="18" customFormat="false" ht="15" hidden="false" customHeight="false" outlineLevel="0" collapsed="false">
      <c r="A18" s="5" t="s">
        <v>39</v>
      </c>
      <c r="B18" s="5" t="s">
        <v>40</v>
      </c>
      <c r="C18" s="6" t="n">
        <v>7580</v>
      </c>
      <c r="D18" s="7" t="n">
        <v>0.0318</v>
      </c>
      <c r="E18" s="8" t="n">
        <v>30.79</v>
      </c>
      <c r="F18" s="9"/>
      <c r="G18" s="10" t="str">
        <f aca="false">IF(F18="","",((F18-E18)/E18))</f>
        <v/>
      </c>
      <c r="H18" s="5" t="str">
        <f aca="false">IF(F18="","",IF(F18&lt;J18,"Below Market",IF(F18&lt;K18,"Market (P25-P75)",IF(F18&lt;L18,"Above Market","Premium"))))</f>
        <v/>
      </c>
      <c r="I18" s="8" t="n">
        <v>16.45</v>
      </c>
      <c r="J18" s="8" t="n">
        <v>23.24</v>
      </c>
      <c r="K18" s="8" t="n">
        <v>42.89</v>
      </c>
      <c r="L18" s="8" t="n">
        <v>57.37</v>
      </c>
      <c r="M18" s="11" t="n">
        <v>64040</v>
      </c>
      <c r="N18" s="5" t="str">
        <f aca="false">IF(F18="","",IF(F18&lt;J18,"⚠️ CHURN RISK",IF(F18&gt;L18,"⚠️ MARGIN RISK","✓ Market Rate")))</f>
        <v/>
      </c>
    </row>
    <row r="19" customFormat="false" ht="15" hidden="false" customHeight="false" outlineLevel="0" collapsed="false">
      <c r="A19" s="5" t="s">
        <v>41</v>
      </c>
      <c r="B19" s="5" t="s">
        <v>42</v>
      </c>
      <c r="C19" s="6" t="n">
        <v>10520</v>
      </c>
      <c r="D19" s="7" t="n">
        <v>0.0442</v>
      </c>
      <c r="E19" s="8" t="n">
        <v>21.35</v>
      </c>
      <c r="F19" s="9"/>
      <c r="G19" s="10" t="str">
        <f aca="false">IF(F19="","",((F19-E19)/E19))</f>
        <v/>
      </c>
      <c r="H19" s="5" t="str">
        <f aca="false">IF(F19="","",IF(F19&lt;J19,"Below Market",IF(F19&lt;K19,"Market (P25-P75)",IF(F19&lt;L19,"Above Market","Premium"))))</f>
        <v/>
      </c>
      <c r="I19" s="8" t="n">
        <v>14.59</v>
      </c>
      <c r="J19" s="8" t="n">
        <v>17.1</v>
      </c>
      <c r="K19" s="8" t="n">
        <v>23.95</v>
      </c>
      <c r="L19" s="8" t="n">
        <v>30.14</v>
      </c>
      <c r="M19" s="11" t="n">
        <v>44400</v>
      </c>
      <c r="N19" s="5" t="str">
        <f aca="false">IF(F19="","",IF(F19&lt;J19,"⚠️ CHURN RISK",IF(F19&gt;L19,"⚠️ MARGIN RISK","✓ Market Rate")))</f>
        <v/>
      </c>
    </row>
    <row r="20" customFormat="false" ht="15" hidden="false" customHeight="false" outlineLevel="0" collapsed="false">
      <c r="A20" s="5" t="s">
        <v>43</v>
      </c>
      <c r="B20" s="5" t="s">
        <v>44</v>
      </c>
      <c r="C20" s="6" t="n">
        <v>5190</v>
      </c>
      <c r="D20" s="7" t="n">
        <v>0.0218</v>
      </c>
      <c r="E20" s="8" t="n">
        <v>18.18</v>
      </c>
      <c r="F20" s="9"/>
      <c r="G20" s="10" t="str">
        <f aca="false">IF(F20="","",((F20-E20)/E20))</f>
        <v/>
      </c>
      <c r="H20" s="5" t="str">
        <f aca="false">IF(F20="","",IF(F20&lt;J20,"Below Market",IF(F20&lt;K20,"Market (P25-P75)",IF(F20&lt;L20,"Above Market","Premium"))))</f>
        <v/>
      </c>
      <c r="I20" s="8" t="n">
        <v>13.67</v>
      </c>
      <c r="J20" s="8" t="n">
        <v>15.21</v>
      </c>
      <c r="K20" s="8" t="n">
        <v>22.87</v>
      </c>
      <c r="L20" s="8" t="n">
        <v>27.22</v>
      </c>
      <c r="M20" s="11" t="n">
        <v>37810</v>
      </c>
      <c r="N20" s="5" t="str">
        <f aca="false">IF(F20="","",IF(F20&lt;J20,"⚠️ CHURN RISK",IF(F20&gt;L20,"⚠️ MARGIN RISK","✓ Market Rate")))</f>
        <v/>
      </c>
    </row>
    <row r="21" customFormat="false" ht="15" hidden="false" customHeight="false" outlineLevel="0" collapsed="false">
      <c r="A21" s="5" t="s">
        <v>45</v>
      </c>
      <c r="B21" s="5" t="s">
        <v>46</v>
      </c>
      <c r="C21" s="6" t="n">
        <v>4340</v>
      </c>
      <c r="D21" s="7" t="n">
        <v>0.0182</v>
      </c>
      <c r="E21" s="8" t="n">
        <v>22.22</v>
      </c>
      <c r="F21" s="9"/>
      <c r="G21" s="10" t="str">
        <f aca="false">IF(F21="","",((F21-E21)/E21))</f>
        <v/>
      </c>
      <c r="H21" s="5" t="str">
        <f aca="false">IF(F21="","",IF(F21&lt;J21,"Below Market",IF(F21&lt;K21,"Market (P25-P75)",IF(F21&lt;L21,"Above Market","Premium"))))</f>
        <v/>
      </c>
      <c r="I21" s="8" t="n">
        <v>15.56</v>
      </c>
      <c r="J21" s="8" t="n">
        <v>18.39</v>
      </c>
      <c r="K21" s="8" t="n">
        <v>29.37</v>
      </c>
      <c r="L21" s="8" t="n">
        <v>34.77</v>
      </c>
      <c r="M21" s="11" t="n">
        <v>46220</v>
      </c>
      <c r="N21" s="5" t="str">
        <f aca="false">IF(F21="","",IF(F21&lt;J21,"⚠️ CHURN RISK",IF(F21&gt;L21,"⚠️ MARGIN RISK","✓ Market Rate")))</f>
        <v/>
      </c>
    </row>
    <row r="22" customFormat="false" ht="15" hidden="false" customHeight="false" outlineLevel="0" collapsed="false">
      <c r="A22" s="5" t="s">
        <v>47</v>
      </c>
      <c r="B22" s="5" t="s">
        <v>48</v>
      </c>
      <c r="C22" s="6" t="n">
        <v>3190</v>
      </c>
      <c r="D22" s="7" t="n">
        <v>0.0134</v>
      </c>
      <c r="E22" s="8" t="n">
        <v>37.76</v>
      </c>
      <c r="F22" s="9"/>
      <c r="G22" s="10" t="str">
        <f aca="false">IF(F22="","",((F22-E22)/E22))</f>
        <v/>
      </c>
      <c r="H22" s="5" t="str">
        <f aca="false">IF(F22="","",IF(F22&lt;J22,"Below Market",IF(F22&lt;K22,"Market (P25-P75)",IF(F22&lt;L22,"Above Market","Premium"))))</f>
        <v/>
      </c>
      <c r="I22" s="8" t="n">
        <v>23.08</v>
      </c>
      <c r="J22" s="8" t="n">
        <v>28.12</v>
      </c>
      <c r="K22" s="8" t="n">
        <v>47.89</v>
      </c>
      <c r="L22" s="8" t="n">
        <v>60.47</v>
      </c>
      <c r="M22" s="11" t="n">
        <v>78540</v>
      </c>
      <c r="N22" s="5" t="str">
        <f aca="false">IF(F22="","",IF(F22&lt;J22,"⚠️ CHURN RISK",IF(F22&gt;L22,"⚠️ MARGIN RISK","✓ Market Rate")))</f>
        <v/>
      </c>
    </row>
    <row r="23" customFormat="false" ht="15" hidden="false" customHeight="false" outlineLevel="0" collapsed="false">
      <c r="A23" s="5" t="s">
        <v>49</v>
      </c>
      <c r="B23" s="5" t="s">
        <v>50</v>
      </c>
      <c r="C23" s="6" t="n">
        <v>2230</v>
      </c>
      <c r="D23" s="7" t="n">
        <v>0.0094</v>
      </c>
      <c r="E23" s="8" t="n">
        <v>27</v>
      </c>
      <c r="F23" s="9"/>
      <c r="G23" s="10" t="str">
        <f aca="false">IF(F23="","",((F23-E23)/E23))</f>
        <v/>
      </c>
      <c r="H23" s="5" t="str">
        <f aca="false">IF(F23="","",IF(F23&lt;J23,"Below Market",IF(F23&lt;K23,"Market (P25-P75)",IF(F23&lt;L23,"Above Market","Premium"))))</f>
        <v/>
      </c>
      <c r="I23" s="8" t="n">
        <v>17.61</v>
      </c>
      <c r="J23" s="8" t="n">
        <v>21.73</v>
      </c>
      <c r="K23" s="8" t="n">
        <v>36.49</v>
      </c>
      <c r="L23" s="8" t="n">
        <v>49.35</v>
      </c>
      <c r="M23" s="11" t="n">
        <v>64160</v>
      </c>
      <c r="N23" s="5" t="str">
        <f aca="false">IF(F23="","",IF(F23&lt;J23,"⚠️ CHURN RISK",IF(F23&gt;L23,"⚠️ MARGIN RISK","✓ Market Rate")))</f>
        <v/>
      </c>
    </row>
    <row r="24" customFormat="false" ht="15" hidden="false" customHeight="false" outlineLevel="0" collapsed="false">
      <c r="A24" s="5" t="s">
        <v>51</v>
      </c>
      <c r="B24" s="5" t="s">
        <v>52</v>
      </c>
      <c r="C24" s="6" t="n">
        <v>1160</v>
      </c>
      <c r="D24" s="7" t="n">
        <v>0.0049</v>
      </c>
      <c r="E24" s="8" t="n">
        <v>17.98</v>
      </c>
      <c r="F24" s="9"/>
      <c r="G24" s="10" t="str">
        <f aca="false">IF(F24="","",((F24-E24)/E24))</f>
        <v/>
      </c>
      <c r="H24" s="5" t="str">
        <f aca="false">IF(F24="","",IF(F24&lt;J24,"Below Market",IF(F24&lt;K24,"Market (P25-P75)",IF(F24&lt;L24,"Above Market","Premium"))))</f>
        <v/>
      </c>
      <c r="I24" s="8" t="n">
        <v>13.59</v>
      </c>
      <c r="J24" s="8" t="n">
        <v>15.34</v>
      </c>
      <c r="K24" s="8" t="n">
        <v>21.23</v>
      </c>
      <c r="L24" s="8" t="n">
        <v>24.99</v>
      </c>
      <c r="M24" s="11" t="n">
        <v>37850</v>
      </c>
      <c r="N24" s="5" t="str">
        <f aca="false">IF(F24="","",IF(F24&lt;J24,"⚠️ CHURN RISK",IF(F24&gt;L24,"⚠️ MARGIN RISK","✓ Market Rate")))</f>
        <v/>
      </c>
    </row>
    <row r="25" customFormat="false" ht="15" hidden="false" customHeight="false" outlineLevel="0" collapsed="false">
      <c r="A25" s="5" t="s">
        <v>53</v>
      </c>
      <c r="B25" s="5" t="s">
        <v>54</v>
      </c>
      <c r="C25" s="6" t="n">
        <v>640</v>
      </c>
      <c r="D25" s="7" t="n">
        <v>0.0027</v>
      </c>
      <c r="E25" s="8" t="n">
        <v>80.77</v>
      </c>
      <c r="F25" s="9"/>
      <c r="G25" s="10" t="str">
        <f aca="false">IF(F25="","",((F25-E25)/E25))</f>
        <v/>
      </c>
      <c r="H25" s="5" t="str">
        <f aca="false">IF(F25="","",IF(F25&lt;J25,"Below Market",IF(F25&lt;K25,"Market (P25-P75)",IF(F25&lt;L25,"Above Market","Premium"))))</f>
        <v/>
      </c>
      <c r="I25" s="8" t="n">
        <v>32.53</v>
      </c>
      <c r="J25" s="8" t="n">
        <v>46.93</v>
      </c>
      <c r="K25" s="8" t="n">
        <v>100.87</v>
      </c>
      <c r="L25" s="8" t="n">
        <v>124.99</v>
      </c>
      <c r="M25" s="11" t="n">
        <v>167990</v>
      </c>
      <c r="N25" s="5" t="str">
        <f aca="false">IF(F25="","",IF(F25&lt;J25,"⚠️ CHURN RISK",IF(F25&gt;L25,"⚠️ MARGIN RISK","✓ Market Rate")))</f>
        <v/>
      </c>
    </row>
    <row r="26" customFormat="false" ht="15" hidden="false" customHeight="false" outlineLevel="0" collapsed="false">
      <c r="A26" s="5" t="s">
        <v>55</v>
      </c>
      <c r="B26" s="5" t="s">
        <v>56</v>
      </c>
      <c r="C26" s="6" t="n">
        <v>620</v>
      </c>
      <c r="D26" s="7" t="n">
        <v>0.0026</v>
      </c>
      <c r="E26" s="8" t="n">
        <v>19.48</v>
      </c>
      <c r="F26" s="9"/>
      <c r="G26" s="10" t="str">
        <f aca="false">IF(F26="","",((F26-E26)/E26))</f>
        <v/>
      </c>
      <c r="H26" s="5" t="str">
        <f aca="false">IF(F26="","",IF(F26&lt;J26,"Below Market",IF(F26&lt;K26,"Market (P25-P75)",IF(F26&lt;L26,"Above Market","Premium"))))</f>
        <v/>
      </c>
      <c r="I26" s="8" t="n">
        <v>14.04</v>
      </c>
      <c r="J26" s="8" t="n">
        <v>16.2</v>
      </c>
      <c r="K26" s="8" t="n">
        <v>23.95</v>
      </c>
      <c r="L26" s="8" t="n">
        <v>29.01</v>
      </c>
      <c r="M26" s="11" t="n">
        <v>40520</v>
      </c>
      <c r="N26" s="5" t="str">
        <f aca="false">IF(F26="","",IF(F26&lt;J26,"⚠️ CHURN RISK",IF(F26&gt;L26,"⚠️ MARGIN RISK","✓ Market Rate")))</f>
        <v/>
      </c>
    </row>
    <row r="27" customFormat="false" ht="15" hidden="false" customHeight="false" outlineLevel="0" collapsed="false">
      <c r="A27" s="5" t="s">
        <v>57</v>
      </c>
      <c r="B27" s="5" t="s">
        <v>58</v>
      </c>
      <c r="C27" s="6" t="n">
        <v>510</v>
      </c>
      <c r="D27" s="7" t="n">
        <v>0.0021</v>
      </c>
      <c r="E27" s="8" t="n">
        <v>30</v>
      </c>
      <c r="F27" s="9"/>
      <c r="G27" s="10" t="str">
        <f aca="false">IF(F27="","",((F27-E27)/E27))</f>
        <v/>
      </c>
      <c r="H27" s="5" t="str">
        <f aca="false">IF(F27="","",IF(F27&lt;J27,"Below Market",IF(F27&lt;K27,"Market (P25-P75)",IF(F27&lt;L27,"Above Market","Premium"))))</f>
        <v/>
      </c>
      <c r="I27" s="8" t="n">
        <v>21.26</v>
      </c>
      <c r="J27" s="8" t="n">
        <v>26.93</v>
      </c>
      <c r="K27" s="8" t="n">
        <v>39.77</v>
      </c>
      <c r="L27" s="8" t="n">
        <v>49.51</v>
      </c>
      <c r="M27" s="11" t="n">
        <v>62400</v>
      </c>
      <c r="N27" s="5" t="str">
        <f aca="false">IF(F27="","",IF(F27&lt;J27,"⚠️ CHURN RISK",IF(F27&gt;L27,"⚠️ MARGIN RISK","✓ Market Rate")))</f>
        <v/>
      </c>
    </row>
    <row r="28" customFormat="false" ht="15" hidden="false" customHeight="false" outlineLevel="0" collapsed="false">
      <c r="A28" s="5" t="s">
        <v>59</v>
      </c>
      <c r="B28" s="5" t="s">
        <v>60</v>
      </c>
      <c r="C28" s="6" t="n">
        <v>360</v>
      </c>
      <c r="D28" s="7" t="n">
        <v>0.0015</v>
      </c>
      <c r="E28" s="8" t="n">
        <v>25.86</v>
      </c>
      <c r="F28" s="9"/>
      <c r="G28" s="10" t="str">
        <f aca="false">IF(F28="","",((F28-E28)/E28))</f>
        <v/>
      </c>
      <c r="H28" s="5" t="str">
        <f aca="false">IF(F28="","",IF(F28&lt;J28,"Below Market",IF(F28&lt;K28,"Market (P25-P75)",IF(F28&lt;L28,"Above Market","Premium"))))</f>
        <v/>
      </c>
      <c r="I28" s="8" t="n">
        <v>19.6</v>
      </c>
      <c r="J28" s="8" t="n">
        <v>22.97</v>
      </c>
      <c r="K28" s="8" t="n">
        <v>29</v>
      </c>
      <c r="L28" s="8" t="n">
        <v>32.68</v>
      </c>
      <c r="M28" s="11" t="n">
        <v>53790</v>
      </c>
      <c r="N28" s="5" t="str">
        <f aca="false">IF(F28="","",IF(F28&lt;J28,"⚠️ CHURN RISK",IF(F28&gt;L28,"⚠️ MARGIN RISK","✓ Market Rate")))</f>
        <v/>
      </c>
    </row>
    <row r="29" customFormat="false" ht="15" hidden="false" customHeight="false" outlineLevel="0" collapsed="false">
      <c r="A29" s="5" t="s">
        <v>61</v>
      </c>
      <c r="B29" s="5" t="s">
        <v>62</v>
      </c>
      <c r="C29" s="6" t="n">
        <v>210</v>
      </c>
      <c r="D29" s="7" t="n">
        <v>0.0009</v>
      </c>
      <c r="E29" s="8" t="n">
        <v>20.24</v>
      </c>
      <c r="F29" s="9"/>
      <c r="G29" s="10" t="str">
        <f aca="false">IF(F29="","",((F29-E29)/E29))</f>
        <v/>
      </c>
      <c r="H29" s="5" t="str">
        <f aca="false">IF(F29="","",IF(F29&lt;J29,"Below Market",IF(F29&lt;K29,"Market (P25-P75)",IF(F29&lt;L29,"Above Market","Premium"))))</f>
        <v/>
      </c>
      <c r="I29" s="8" t="n">
        <v>14.28</v>
      </c>
      <c r="J29" s="8" t="n">
        <v>16.14</v>
      </c>
      <c r="K29" s="8" t="n">
        <v>27.99</v>
      </c>
      <c r="L29" s="8" t="n">
        <v>34.8</v>
      </c>
      <c r="M29" s="11" t="n">
        <v>42100</v>
      </c>
      <c r="N29" s="5" t="str">
        <f aca="false">IF(F29="","",IF(F29&lt;J29,"⚠️ CHURN RISK",IF(F29&gt;L29,"⚠️ MARGIN RISK","✓ Market Rate")))</f>
        <v/>
      </c>
    </row>
    <row r="30" customFormat="false" ht="15" hidden="false" customHeight="false" outlineLevel="0" collapsed="false">
      <c r="A30" s="5" t="s">
        <v>63</v>
      </c>
      <c r="B30" s="5" t="s">
        <v>64</v>
      </c>
      <c r="C30" s="6" t="n">
        <v>8980</v>
      </c>
      <c r="D30" s="7" t="n">
        <v>0.0377</v>
      </c>
      <c r="E30" s="8" t="n">
        <v>45.37</v>
      </c>
      <c r="F30" s="9"/>
      <c r="G30" s="10" t="str">
        <f aca="false">IF(F30="","",((F30-E30)/E30))</f>
        <v/>
      </c>
      <c r="H30" s="5" t="str">
        <f aca="false">IF(F30="","",IF(F30&lt;J30,"Below Market",IF(F30&lt;K30,"Market (P25-P75)",IF(F30&lt;L30,"Above Market","Premium"))))</f>
        <v/>
      </c>
      <c r="I30" s="8" t="n">
        <v>22.06</v>
      </c>
      <c r="J30" s="8" t="n">
        <v>30.57</v>
      </c>
      <c r="K30" s="8" t="n">
        <v>63.01</v>
      </c>
      <c r="L30" s="8" t="n">
        <v>81.34</v>
      </c>
      <c r="M30" s="11" t="n">
        <v>94380</v>
      </c>
      <c r="N30" s="5" t="str">
        <f aca="false">IF(F30="","",IF(F30&lt;J30,"⚠️ CHURN RISK",IF(F30&gt;L30,"⚠️ MARGIN RISK","✓ Market Rate")))</f>
        <v/>
      </c>
    </row>
    <row r="31" customFormat="false" ht="15" hidden="false" customHeight="false" outlineLevel="0" collapsed="false">
      <c r="A31" s="5" t="s">
        <v>65</v>
      </c>
      <c r="B31" s="5" t="s">
        <v>66</v>
      </c>
      <c r="C31" s="6" t="n">
        <v>5650</v>
      </c>
      <c r="D31" s="7" t="n">
        <v>0.0237</v>
      </c>
      <c r="E31" s="8" t="n">
        <v>44.81</v>
      </c>
      <c r="F31" s="9"/>
      <c r="G31" s="10" t="str">
        <f aca="false">IF(F31="","",((F31-E31)/E31))</f>
        <v/>
      </c>
      <c r="H31" s="5" t="str">
        <f aca="false">IF(F31="","",IF(F31&lt;J31,"Below Market",IF(F31&lt;K31,"Market (P25-P75)",IF(F31&lt;L31,"Above Market","Premium"))))</f>
        <v/>
      </c>
      <c r="I31" s="8" t="n">
        <v>27.14</v>
      </c>
      <c r="J31" s="8" t="n">
        <v>33.65</v>
      </c>
      <c r="K31" s="8" t="n">
        <v>59.78</v>
      </c>
      <c r="L31" s="8" t="n">
        <v>75.61</v>
      </c>
      <c r="M31" s="11" t="n">
        <v>93210</v>
      </c>
      <c r="N31" s="5" t="str">
        <f aca="false">IF(F31="","",IF(F31&lt;J31,"⚠️ CHURN RISK",IF(F31&gt;L31,"⚠️ MARGIN RISK","✓ Market Rate")))</f>
        <v/>
      </c>
    </row>
    <row r="32" customFormat="false" ht="15" hidden="false" customHeight="false" outlineLevel="0" collapsed="false">
      <c r="A32" s="5" t="s">
        <v>67</v>
      </c>
      <c r="B32" s="5" t="s">
        <v>68</v>
      </c>
      <c r="C32" s="6" t="n">
        <v>1580</v>
      </c>
      <c r="D32" s="7" t="n">
        <v>0.0066</v>
      </c>
      <c r="E32" s="8" t="n">
        <v>37.68</v>
      </c>
      <c r="F32" s="9"/>
      <c r="G32" s="10" t="str">
        <f aca="false">IF(F32="","",((F32-E32)/E32))</f>
        <v/>
      </c>
      <c r="H32" s="5" t="str">
        <f aca="false">IF(F32="","",IF(F32&lt;J32,"Below Market",IF(F32&lt;K32,"Market (P25-P75)",IF(F32&lt;L32,"Above Market","Premium"))))</f>
        <v/>
      </c>
      <c r="I32" s="8" t="n">
        <v>24.37</v>
      </c>
      <c r="J32" s="8" t="n">
        <v>30.14</v>
      </c>
      <c r="K32" s="8" t="n">
        <v>48.79</v>
      </c>
      <c r="L32" s="8" t="n">
        <v>61.13</v>
      </c>
      <c r="M32" s="11" t="n">
        <v>78370</v>
      </c>
      <c r="N32" s="5" t="str">
        <f aca="false">IF(F32="","",IF(F32&lt;J32,"⚠️ CHURN RISK",IF(F32&gt;L32,"⚠️ MARGIN RISK","✓ Market Rate")))</f>
        <v/>
      </c>
    </row>
    <row r="33" customFormat="false" ht="15" hidden="false" customHeight="false" outlineLevel="0" collapsed="false">
      <c r="A33" s="5" t="s">
        <v>69</v>
      </c>
      <c r="B33" s="5" t="s">
        <v>70</v>
      </c>
      <c r="C33" s="6" t="n">
        <v>340</v>
      </c>
      <c r="D33" s="7" t="n">
        <v>0.0014</v>
      </c>
      <c r="E33" s="8" t="n">
        <v>54.54</v>
      </c>
      <c r="F33" s="9"/>
      <c r="G33" s="10" t="str">
        <f aca="false">IF(F33="","",((F33-E33)/E33))</f>
        <v/>
      </c>
      <c r="H33" s="5" t="str">
        <f aca="false">IF(F33="","",IF(F33&lt;J33,"Below Market",IF(F33&lt;K33,"Market (P25-P75)",IF(F33&lt;L33,"Above Market","Premium"))))</f>
        <v/>
      </c>
      <c r="I33" s="8" t="n">
        <v>40.07</v>
      </c>
      <c r="J33" s="8" t="n">
        <v>48.07</v>
      </c>
      <c r="K33" s="8" t="n">
        <v>62.72</v>
      </c>
      <c r="L33" s="8" t="n">
        <v>72.97</v>
      </c>
      <c r="M33" s="11" t="n">
        <v>113450</v>
      </c>
      <c r="N33" s="5" t="str">
        <f aca="false">IF(F33="","",IF(F33&lt;J33,"⚠️ CHURN RISK",IF(F33&gt;L33,"⚠️ MARGIN RISK","✓ Market Rate")))</f>
        <v/>
      </c>
    </row>
    <row r="34" customFormat="false" ht="15" hidden="false" customHeight="false" outlineLevel="0" collapsed="false">
      <c r="A34" s="5" t="s">
        <v>71</v>
      </c>
      <c r="B34" s="5" t="s">
        <v>72</v>
      </c>
      <c r="C34" s="6" t="n">
        <v>160</v>
      </c>
      <c r="D34" s="7" t="n">
        <v>0.0007</v>
      </c>
      <c r="E34" s="8" t="n">
        <v>76.98</v>
      </c>
      <c r="F34" s="9"/>
      <c r="G34" s="10" t="str">
        <f aca="false">IF(F34="","",((F34-E34)/E34))</f>
        <v/>
      </c>
      <c r="H34" s="5" t="str">
        <f aca="false">IF(F34="","",IF(F34&lt;J34,"Below Market",IF(F34&lt;K34,"Market (P25-P75)",IF(F34&lt;L34,"Above Market","Premium"))))</f>
        <v/>
      </c>
      <c r="I34" s="8" t="n">
        <v>37.08</v>
      </c>
      <c r="J34" s="8" t="n">
        <v>54.98</v>
      </c>
      <c r="K34" s="8" t="n">
        <v>106.8</v>
      </c>
      <c r="L34" s="8" t="n">
        <v>148.31</v>
      </c>
      <c r="M34" s="11" t="n">
        <v>186850</v>
      </c>
      <c r="N34" s="5" t="str">
        <f aca="false">IF(F34="","",IF(F34&lt;J34,"⚠️ CHURN RISK",IF(F34&gt;L34,"⚠️ MARGIN RISK","✓ Market Rate")))</f>
        <v/>
      </c>
    </row>
    <row r="35" customFormat="false" ht="15" hidden="false" customHeight="false" outlineLevel="0" collapsed="false">
      <c r="A35" s="5" t="s">
        <v>73</v>
      </c>
      <c r="B35" s="5" t="s">
        <v>74</v>
      </c>
      <c r="C35" s="6" t="n">
        <v>460</v>
      </c>
      <c r="D35" s="7" t="n">
        <v>0.0019</v>
      </c>
      <c r="E35" s="8" t="n">
        <v>27.08</v>
      </c>
      <c r="F35" s="9"/>
      <c r="G35" s="10" t="str">
        <f aca="false">IF(F35="","",((F35-E35)/E35))</f>
        <v/>
      </c>
      <c r="H35" s="5" t="str">
        <f aca="false">IF(F35="","",IF(F35&lt;J35,"Below Market",IF(F35&lt;K35,"Market (P25-P75)",IF(F35&lt;L35,"Above Market","Premium"))))</f>
        <v/>
      </c>
      <c r="I35" s="8" t="n">
        <v>18.94</v>
      </c>
      <c r="J35" s="8" t="n">
        <v>22.88</v>
      </c>
      <c r="K35" s="8" t="n">
        <v>38.82</v>
      </c>
      <c r="L35" s="8" t="n">
        <v>48.34</v>
      </c>
      <c r="M35" s="11" t="n">
        <v>64080</v>
      </c>
      <c r="N35" s="5" t="str">
        <f aca="false">IF(F35="","",IF(F35&lt;J35,"⚠️ CHURN RISK",IF(F35&gt;L35,"⚠️ MARGIN RISK","✓ Market Rate")))</f>
        <v/>
      </c>
    </row>
    <row r="36" customFormat="false" ht="15" hidden="false" customHeight="false" outlineLevel="0" collapsed="false">
      <c r="A36" s="5" t="s">
        <v>75</v>
      </c>
      <c r="B36" s="5" t="s">
        <v>76</v>
      </c>
      <c r="C36" s="6" t="n">
        <v>870</v>
      </c>
      <c r="D36" s="7" t="n">
        <v>0.0036</v>
      </c>
      <c r="E36" s="8" t="n">
        <v>25.77</v>
      </c>
      <c r="F36" s="9"/>
      <c r="G36" s="10" t="str">
        <f aca="false">IF(F36="","",((F36-E36)/E36))</f>
        <v/>
      </c>
      <c r="H36" s="5" t="str">
        <f aca="false">IF(F36="","",IF(F36&lt;J36,"Below Market",IF(F36&lt;K36,"Market (P25-P75)",IF(F36&lt;L36,"Above Market","Premium"))))</f>
        <v/>
      </c>
      <c r="I36" s="8" t="n">
        <v>17.99</v>
      </c>
      <c r="J36" s="8" t="n">
        <v>21.48</v>
      </c>
      <c r="K36" s="8" t="n">
        <v>29.73</v>
      </c>
      <c r="L36" s="8" t="n">
        <v>34.24</v>
      </c>
      <c r="M36" s="11" t="n">
        <v>53600</v>
      </c>
      <c r="N36" s="5" t="str">
        <f aca="false">IF(F36="","",IF(F36&lt;J36,"⚠️ CHURN RISK",IF(F36&gt;L36,"⚠️ MARGIN RISK","✓ Market Rate")))</f>
        <v/>
      </c>
    </row>
    <row r="37" customFormat="false" ht="15" hidden="false" customHeight="false" outlineLevel="0" collapsed="false">
      <c r="A37" s="5" t="s">
        <v>77</v>
      </c>
      <c r="B37" s="5" t="s">
        <v>78</v>
      </c>
      <c r="C37" s="6" t="n">
        <v>850</v>
      </c>
      <c r="D37" s="7" t="n">
        <v>0.0036</v>
      </c>
      <c r="E37" s="8" t="n">
        <v>20.23</v>
      </c>
      <c r="F37" s="9"/>
      <c r="G37" s="10" t="str">
        <f aca="false">IF(F37="","",((F37-E37)/E37))</f>
        <v/>
      </c>
      <c r="H37" s="5" t="str">
        <f aca="false">IF(F37="","",IF(F37&lt;J37,"Below Market",IF(F37&lt;K37,"Market (P25-P75)",IF(F37&lt;L37,"Above Market","Premium"))))</f>
        <v/>
      </c>
      <c r="I37" s="8" t="n">
        <v>13.85</v>
      </c>
      <c r="J37" s="8" t="n">
        <v>16.33</v>
      </c>
      <c r="K37" s="8" t="n">
        <v>24.2</v>
      </c>
      <c r="L37" s="8" t="n">
        <v>28.49</v>
      </c>
      <c r="M37" s="11" t="n">
        <v>42080</v>
      </c>
      <c r="N37" s="5" t="str">
        <f aca="false">IF(F37="","",IF(F37&lt;J37,"⚠️ CHURN RISK",IF(F37&gt;L37,"⚠️ MARGIN RISK","✓ Market Rate")))</f>
        <v/>
      </c>
    </row>
    <row r="38" customFormat="false" ht="15" hidden="false" customHeight="false" outlineLevel="0" collapsed="false">
      <c r="A38" s="5" t="s">
        <v>79</v>
      </c>
      <c r="B38" s="5" t="s">
        <v>80</v>
      </c>
      <c r="C38" s="6" t="n">
        <v>170</v>
      </c>
      <c r="D38" s="7" t="n">
        <v>0.0007</v>
      </c>
      <c r="E38" s="8" t="n">
        <v>27.64</v>
      </c>
      <c r="F38" s="9"/>
      <c r="G38" s="10" t="str">
        <f aca="false">IF(F38="","",((F38-E38)/E38))</f>
        <v/>
      </c>
      <c r="H38" s="5" t="str">
        <f aca="false">IF(F38="","",IF(F38&lt;J38,"Below Market",IF(F38&lt;K38,"Market (P25-P75)",IF(F38&lt;L38,"Above Market","Premium"))))</f>
        <v/>
      </c>
      <c r="I38" s="8" t="n">
        <v>20.74</v>
      </c>
      <c r="J38" s="8" t="n">
        <v>23.9</v>
      </c>
      <c r="K38" s="8" t="n">
        <v>29.52</v>
      </c>
      <c r="L38" s="8" t="n">
        <v>34.5</v>
      </c>
      <c r="M38" s="11" t="n">
        <v>57500</v>
      </c>
      <c r="N38" s="5" t="str">
        <f aca="false">IF(F38="","",IF(F38&lt;J38,"⚠️ CHURN RISK",IF(F38&gt;L38,"⚠️ MARGIN RISK","✓ Market Rate")))</f>
        <v/>
      </c>
    </row>
    <row r="39" customFormat="false" ht="15" hidden="false" customHeight="false" outlineLevel="0" collapsed="false">
      <c r="A39" s="5" t="s">
        <v>81</v>
      </c>
      <c r="B39" s="5" t="s">
        <v>82</v>
      </c>
      <c r="C39" s="6" t="n">
        <v>390</v>
      </c>
      <c r="D39" s="7" t="n">
        <v>0.0016</v>
      </c>
      <c r="E39" s="8" t="n">
        <v>32.37</v>
      </c>
      <c r="F39" s="9"/>
      <c r="G39" s="10" t="str">
        <f aca="false">IF(F39="","",((F39-E39)/E39))</f>
        <v/>
      </c>
      <c r="H39" s="5" t="str">
        <f aca="false">IF(F39="","",IF(F39&lt;J39,"Below Market",IF(F39&lt;K39,"Market (P25-P75)",IF(F39&lt;L39,"Above Market","Premium"))))</f>
        <v/>
      </c>
      <c r="I39" s="8" t="n">
        <v>21.83</v>
      </c>
      <c r="J39" s="8" t="n">
        <v>27.12</v>
      </c>
      <c r="K39" s="8" t="n">
        <v>38.57</v>
      </c>
      <c r="L39" s="8" t="n">
        <v>45.02</v>
      </c>
      <c r="M39" s="11" t="n">
        <v>74040</v>
      </c>
      <c r="N39" s="5" t="str">
        <f aca="false">IF(F39="","",IF(F39&lt;J39,"⚠️ CHURN RISK",IF(F39&gt;L39,"⚠️ MARGIN RISK","✓ Market Rate")))</f>
        <v/>
      </c>
    </row>
    <row r="40" customFormat="false" ht="15" hidden="false" customHeight="false" outlineLevel="0" collapsed="false">
      <c r="A40" s="5" t="s">
        <v>83</v>
      </c>
      <c r="B40" s="5" t="s">
        <v>84</v>
      </c>
      <c r="C40" s="6" t="n">
        <v>170</v>
      </c>
      <c r="D40" s="7" t="n">
        <v>0.0007</v>
      </c>
      <c r="E40" s="8" t="n">
        <v>24.27</v>
      </c>
      <c r="F40" s="9"/>
      <c r="G40" s="10" t="str">
        <f aca="false">IF(F40="","",((F40-E40)/E40))</f>
        <v/>
      </c>
      <c r="H40" s="5" t="str">
        <f aca="false">IF(F40="","",IF(F40&lt;J40,"Below Market",IF(F40&lt;K40,"Market (P25-P75)",IF(F40&lt;L40,"Above Market","Premium"))))</f>
        <v/>
      </c>
      <c r="I40" s="8" t="n">
        <v>18.07</v>
      </c>
      <c r="J40" s="8" t="n">
        <v>20.97</v>
      </c>
      <c r="K40" s="8" t="n">
        <v>29.93</v>
      </c>
      <c r="L40" s="8" t="n">
        <v>35.76</v>
      </c>
      <c r="M40" s="11" t="n">
        <v>55970</v>
      </c>
      <c r="N40" s="5" t="str">
        <f aca="false">IF(F40="","",IF(F40&lt;J40,"⚠️ CHURN RISK",IF(F40&gt;L40,"⚠️ MARGIN RISK","✓ Market Rate")))</f>
        <v/>
      </c>
    </row>
    <row r="41" customFormat="false" ht="15" hidden="false" customHeight="false" outlineLevel="0" collapsed="false">
      <c r="A41" s="5" t="s">
        <v>85</v>
      </c>
      <c r="B41" s="5" t="s">
        <v>86</v>
      </c>
      <c r="C41" s="6" t="n">
        <v>430</v>
      </c>
      <c r="D41" s="7" t="n">
        <v>0.0018</v>
      </c>
      <c r="E41" s="8" t="n">
        <v>25</v>
      </c>
      <c r="F41" s="9"/>
      <c r="G41" s="10" t="str">
        <f aca="false">IF(F41="","",((F41-E41)/E41))</f>
        <v/>
      </c>
      <c r="H41" s="5" t="str">
        <f aca="false">IF(F41="","",IF(F41&lt;J41,"Below Market",IF(F41&lt;K41,"Market (P25-P75)",IF(F41&lt;L41,"Above Market","Premium"))))</f>
        <v/>
      </c>
      <c r="I41" s="8" t="n">
        <v>17.36</v>
      </c>
      <c r="J41" s="8" t="n">
        <v>20.67</v>
      </c>
      <c r="K41" s="8" t="n">
        <v>29.57</v>
      </c>
      <c r="L41" s="8" t="n">
        <v>34.76</v>
      </c>
      <c r="M41" s="11" t="n">
        <v>52190</v>
      </c>
      <c r="N41" s="5" t="str">
        <f aca="false">IF(F41="","",IF(F41&lt;J41,"⚠️ CHURN RISK",IF(F41&gt;L41,"⚠️ MARGIN RISK","✓ Market Rate")))</f>
        <v/>
      </c>
    </row>
  </sheetData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8"/>
    <col collapsed="false" customWidth="true" hidden="false" outlineLevel="0" max="4" min="3" style="0" width="14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35"/>
  </cols>
  <sheetData>
    <row r="1" customFormat="false" ht="19.7" hidden="false" customHeight="false" outlineLevel="0" collapsed="false">
      <c r="A1" s="12" t="s">
        <v>87</v>
      </c>
      <c r="B1" s="12"/>
      <c r="C1" s="12"/>
      <c r="D1" s="12"/>
      <c r="E1" s="12"/>
      <c r="F1" s="12"/>
      <c r="G1" s="12"/>
    </row>
    <row r="2" customFormat="false" ht="15" hidden="false" customHeight="false" outlineLevel="0" collapsed="false">
      <c r="A2" s="13" t="s">
        <v>88</v>
      </c>
      <c r="B2" s="13"/>
      <c r="C2" s="13"/>
      <c r="D2" s="13"/>
      <c r="E2" s="13"/>
      <c r="F2" s="13"/>
      <c r="G2" s="13"/>
    </row>
    <row r="4" customFormat="false" ht="15" hidden="false" customHeight="false" outlineLevel="0" collapsed="false">
      <c r="A4" s="14" t="s">
        <v>89</v>
      </c>
      <c r="B4" s="14"/>
      <c r="C4" s="14"/>
    </row>
    <row r="5" customFormat="false" ht="15" hidden="false" customHeight="false" outlineLevel="0" collapsed="false">
      <c r="A5" s="5" t="s">
        <v>90</v>
      </c>
      <c r="C5" s="15" t="n">
        <v>0.0765</v>
      </c>
    </row>
    <row r="6" customFormat="false" ht="15" hidden="false" customHeight="false" outlineLevel="0" collapsed="false">
      <c r="A6" s="5" t="s">
        <v>91</v>
      </c>
      <c r="C6" s="15" t="n">
        <v>0.006</v>
      </c>
    </row>
    <row r="7" customFormat="false" ht="15" hidden="false" customHeight="false" outlineLevel="0" collapsed="false">
      <c r="A7" s="5" t="s">
        <v>92</v>
      </c>
      <c r="C7" s="15" t="n">
        <v>0.027</v>
      </c>
    </row>
    <row r="8" customFormat="false" ht="15" hidden="false" customHeight="false" outlineLevel="0" collapsed="false">
      <c r="A8" s="5" t="s">
        <v>93</v>
      </c>
      <c r="C8" s="15" t="n">
        <v>0.15</v>
      </c>
    </row>
    <row r="9" customFormat="false" ht="15" hidden="false" customHeight="false" outlineLevel="0" collapsed="false">
      <c r="A9" s="5" t="s">
        <v>94</v>
      </c>
      <c r="C9" s="15" t="n">
        <v>0.08</v>
      </c>
    </row>
    <row r="10" customFormat="false" ht="15" hidden="false" customHeight="false" outlineLevel="0" collapsed="false">
      <c r="A10" s="5" t="s">
        <v>95</v>
      </c>
      <c r="C10" s="15" t="n">
        <v>0.05</v>
      </c>
    </row>
    <row r="11" customFormat="false" ht="15" hidden="false" customHeight="false" outlineLevel="0" collapsed="false">
      <c r="A11" s="16" t="s">
        <v>96</v>
      </c>
      <c r="C11" s="17" t="n">
        <f aca="false">SUM(C5:C10)</f>
        <v>0.3895</v>
      </c>
    </row>
    <row r="14" customFormat="false" ht="15" hidden="false" customHeight="false" outlineLevel="0" collapsed="false">
      <c r="A14" s="14" t="s">
        <v>97</v>
      </c>
      <c r="B14" s="14"/>
      <c r="C14" s="14"/>
      <c r="D14" s="14"/>
      <c r="E14" s="14"/>
      <c r="F14" s="14"/>
      <c r="G14" s="14"/>
    </row>
    <row r="15" customFormat="false" ht="15" hidden="false" customHeight="false" outlineLevel="0" collapsed="false">
      <c r="A15" s="18" t="s">
        <v>98</v>
      </c>
      <c r="B15" s="18" t="s">
        <v>99</v>
      </c>
      <c r="C15" s="18" t="s">
        <v>100</v>
      </c>
      <c r="D15" s="18" t="s">
        <v>101</v>
      </c>
      <c r="E15" s="18" t="s">
        <v>102</v>
      </c>
      <c r="F15" s="18" t="s">
        <v>103</v>
      </c>
      <c r="G15" s="18" t="s">
        <v>104</v>
      </c>
    </row>
    <row r="16" customFormat="false" ht="15" hidden="false" customHeight="false" outlineLevel="0" collapsed="false">
      <c r="A16" s="5" t="s">
        <v>105</v>
      </c>
      <c r="B16" s="19" t="n">
        <v>49940</v>
      </c>
      <c r="C16" s="7" t="n">
        <f aca="false">$C$11</f>
        <v>0.3895</v>
      </c>
      <c r="D16" s="11" t="n">
        <f aca="false">B16*C16</f>
        <v>19451.63</v>
      </c>
      <c r="E16" s="20" t="n">
        <f aca="false">B16+D16</f>
        <v>69391.63</v>
      </c>
      <c r="F16" s="8" t="n">
        <f aca="false">E16/2080</f>
        <v>33.3613605769231</v>
      </c>
      <c r="G16" s="5" t="s">
        <v>106</v>
      </c>
    </row>
    <row r="17" customFormat="false" ht="15" hidden="false" customHeight="false" outlineLevel="0" collapsed="false">
      <c r="A17" s="5" t="s">
        <v>107</v>
      </c>
      <c r="B17" s="19" t="n">
        <v>38720</v>
      </c>
      <c r="C17" s="7" t="n">
        <f aca="false">$C$11</f>
        <v>0.3895</v>
      </c>
      <c r="D17" s="11" t="n">
        <f aca="false">B17*C17</f>
        <v>15081.44</v>
      </c>
      <c r="E17" s="20" t="n">
        <f aca="false">B17+D17</f>
        <v>53801.44</v>
      </c>
      <c r="F17" s="8" t="n">
        <f aca="false">E17/2080</f>
        <v>25.8660769230769</v>
      </c>
      <c r="G17" s="5" t="s">
        <v>106</v>
      </c>
    </row>
    <row r="18" customFormat="false" ht="15" hidden="false" customHeight="false" outlineLevel="0" collapsed="false">
      <c r="A18" s="5" t="s">
        <v>108</v>
      </c>
      <c r="B18" s="19" t="n">
        <v>63750</v>
      </c>
      <c r="C18" s="7" t="n">
        <f aca="false">$C$11</f>
        <v>0.3895</v>
      </c>
      <c r="D18" s="11" t="n">
        <f aca="false">B18*C18</f>
        <v>24830.625</v>
      </c>
      <c r="E18" s="20" t="n">
        <f aca="false">B18+D18</f>
        <v>88580.625</v>
      </c>
      <c r="F18" s="8" t="n">
        <f aca="false">E18/2080</f>
        <v>42.5868389423077</v>
      </c>
      <c r="G18" s="5" t="s">
        <v>106</v>
      </c>
    </row>
    <row r="19" customFormat="false" ht="15" hidden="false" customHeight="false" outlineLevel="0" collapsed="false">
      <c r="A19" s="5" t="s">
        <v>109</v>
      </c>
      <c r="B19" s="19" t="n">
        <v>76180</v>
      </c>
      <c r="C19" s="7" t="n">
        <f aca="false">$C$11</f>
        <v>0.3895</v>
      </c>
      <c r="D19" s="11" t="n">
        <f aca="false">B19*C19</f>
        <v>29672.11</v>
      </c>
      <c r="E19" s="20" t="n">
        <f aca="false">B19+D19</f>
        <v>105852.11</v>
      </c>
      <c r="F19" s="8" t="n">
        <f aca="false">E19/2080</f>
        <v>50.8904375</v>
      </c>
      <c r="G19" s="5" t="s">
        <v>106</v>
      </c>
    </row>
    <row r="20" customFormat="false" ht="15" hidden="false" customHeight="false" outlineLevel="0" collapsed="false">
      <c r="A20" s="5" t="s">
        <v>110</v>
      </c>
      <c r="B20" s="19" t="n">
        <v>44400</v>
      </c>
      <c r="C20" s="7" t="n">
        <f aca="false">$C$11</f>
        <v>0.3895</v>
      </c>
      <c r="D20" s="11" t="n">
        <f aca="false">B20*C20</f>
        <v>17293.8</v>
      </c>
      <c r="E20" s="20" t="n">
        <f aca="false">B20+D20</f>
        <v>61693.8</v>
      </c>
      <c r="F20" s="8" t="n">
        <f aca="false">E20/2080</f>
        <v>29.6604807692308</v>
      </c>
      <c r="G20" s="5" t="s">
        <v>106</v>
      </c>
    </row>
    <row r="21" customFormat="false" ht="15" hidden="false" customHeight="false" outlineLevel="0" collapsed="false">
      <c r="A21" s="5" t="s">
        <v>111</v>
      </c>
      <c r="B21" s="19" t="n">
        <v>64040</v>
      </c>
      <c r="C21" s="7" t="n">
        <f aca="false">$C$11</f>
        <v>0.3895</v>
      </c>
      <c r="D21" s="11" t="n">
        <f aca="false">B21*C21</f>
        <v>24943.58</v>
      </c>
      <c r="E21" s="20" t="n">
        <f aca="false">B21+D21</f>
        <v>88983.58</v>
      </c>
      <c r="F21" s="8" t="n">
        <f aca="false">E21/2080</f>
        <v>42.7805673076923</v>
      </c>
      <c r="G21" s="5" t="s">
        <v>106</v>
      </c>
    </row>
    <row r="22" customFormat="false" ht="15" hidden="false" customHeight="false" outlineLevel="0" collapsed="false">
      <c r="A22" s="5" t="s">
        <v>112</v>
      </c>
      <c r="B22" s="19" t="n">
        <v>94380</v>
      </c>
      <c r="C22" s="7" t="n">
        <f aca="false">$C$11</f>
        <v>0.3895</v>
      </c>
      <c r="D22" s="11" t="n">
        <f aca="false">B22*C22</f>
        <v>36761.01</v>
      </c>
      <c r="E22" s="20" t="n">
        <f aca="false">B22+D22</f>
        <v>131141.01</v>
      </c>
      <c r="F22" s="8" t="n">
        <f aca="false">E22/2080</f>
        <v>63.0485625</v>
      </c>
      <c r="G22" s="5" t="s">
        <v>106</v>
      </c>
    </row>
    <row r="23" customFormat="false" ht="15" hidden="false" customHeight="false" outlineLevel="0" collapsed="false">
      <c r="A23" s="5" t="s">
        <v>113</v>
      </c>
      <c r="B23" s="19" t="n">
        <v>93210</v>
      </c>
      <c r="C23" s="7" t="n">
        <f aca="false">$C$11</f>
        <v>0.3895</v>
      </c>
      <c r="D23" s="11" t="n">
        <f aca="false">B23*C23</f>
        <v>36305.295</v>
      </c>
      <c r="E23" s="20" t="n">
        <f aca="false">B23+D23</f>
        <v>129515.295</v>
      </c>
      <c r="F23" s="8" t="n">
        <f aca="false">E23/2080</f>
        <v>62.26696875</v>
      </c>
      <c r="G23" s="5" t="s">
        <v>106</v>
      </c>
    </row>
  </sheetData>
  <mergeCells count="4">
    <mergeCell ref="A1:G1"/>
    <mergeCell ref="A2:G2"/>
    <mergeCell ref="A4:C4"/>
    <mergeCell ref="A14:G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2"/>
    <col collapsed="false" customWidth="true" hidden="false" outlineLevel="0" max="3" min="3" style="0" width="50"/>
    <col collapsed="false" customWidth="true" hidden="false" outlineLevel="0" max="4" min="4" style="0" width="25"/>
  </cols>
  <sheetData>
    <row r="1" customFormat="false" ht="19.7" hidden="false" customHeight="false" outlineLevel="0" collapsed="false">
      <c r="A1" s="12" t="s">
        <v>114</v>
      </c>
      <c r="B1" s="12"/>
      <c r="C1" s="12"/>
      <c r="D1" s="12"/>
      <c r="E1" s="12"/>
      <c r="F1" s="12"/>
    </row>
    <row r="2" customFormat="false" ht="15" hidden="false" customHeight="false" outlineLevel="0" collapsed="false">
      <c r="A2" s="13" t="s">
        <v>115</v>
      </c>
      <c r="B2" s="13"/>
      <c r="C2" s="13"/>
      <c r="D2" s="13"/>
      <c r="E2" s="13"/>
      <c r="F2" s="13"/>
    </row>
    <row r="4" customFormat="false" ht="15" hidden="false" customHeight="false" outlineLevel="0" collapsed="false">
      <c r="A4" s="21" t="s">
        <v>116</v>
      </c>
      <c r="B4" s="21" t="s">
        <v>117</v>
      </c>
      <c r="C4" s="21" t="s">
        <v>118</v>
      </c>
      <c r="D4" s="21" t="s">
        <v>119</v>
      </c>
    </row>
    <row r="5" customFormat="false" ht="15" hidden="false" customHeight="false" outlineLevel="0" collapsed="false">
      <c r="A5" s="22" t="s">
        <v>120</v>
      </c>
      <c r="B5" s="22" t="s">
        <v>121</v>
      </c>
      <c r="C5" s="22" t="s">
        <v>122</v>
      </c>
      <c r="D5" s="22" t="s">
        <v>123</v>
      </c>
    </row>
    <row r="6" customFormat="false" ht="15" hidden="false" customHeight="false" outlineLevel="0" collapsed="false">
      <c r="A6" s="23" t="s">
        <v>124</v>
      </c>
      <c r="B6" s="23" t="s">
        <v>125</v>
      </c>
      <c r="C6" s="23" t="s">
        <v>126</v>
      </c>
      <c r="D6" s="23" t="s">
        <v>127</v>
      </c>
    </row>
    <row r="7" customFormat="false" ht="15" hidden="false" customHeight="false" outlineLevel="0" collapsed="false">
      <c r="A7" s="5" t="s">
        <v>128</v>
      </c>
      <c r="B7" s="5" t="s">
        <v>129</v>
      </c>
      <c r="C7" s="5" t="s">
        <v>130</v>
      </c>
      <c r="D7" s="5" t="s">
        <v>131</v>
      </c>
    </row>
    <row r="8" customFormat="false" ht="15" hidden="false" customHeight="false" outlineLevel="0" collapsed="false">
      <c r="A8" s="22" t="s">
        <v>132</v>
      </c>
      <c r="B8" s="22" t="s">
        <v>121</v>
      </c>
      <c r="C8" s="22" t="s">
        <v>133</v>
      </c>
      <c r="D8" s="22" t="s">
        <v>123</v>
      </c>
    </row>
    <row r="9" customFormat="false" ht="15" hidden="false" customHeight="false" outlineLevel="0" collapsed="false">
      <c r="A9" s="23" t="s">
        <v>134</v>
      </c>
      <c r="B9" s="23" t="s">
        <v>125</v>
      </c>
      <c r="C9" s="23" t="s">
        <v>135</v>
      </c>
      <c r="D9" s="23" t="s">
        <v>136</v>
      </c>
    </row>
    <row r="10" customFormat="false" ht="15" hidden="false" customHeight="false" outlineLevel="0" collapsed="false">
      <c r="A10" s="5" t="s">
        <v>137</v>
      </c>
      <c r="B10" s="5" t="s">
        <v>129</v>
      </c>
      <c r="C10" s="5" t="s">
        <v>138</v>
      </c>
      <c r="D10" s="5" t="s">
        <v>131</v>
      </c>
    </row>
    <row r="13" customFormat="false" ht="15" hidden="false" customHeight="false" outlineLevel="0" collapsed="false">
      <c r="A13" s="24" t="s">
        <v>139</v>
      </c>
      <c r="B13" s="24"/>
      <c r="C13" s="24"/>
      <c r="D13" s="24"/>
    </row>
    <row r="14" customFormat="false" ht="15" hidden="false" customHeight="false" outlineLevel="0" collapsed="false">
      <c r="A14" s="21" t="s">
        <v>140</v>
      </c>
      <c r="B14" s="21" t="s">
        <v>117</v>
      </c>
      <c r="C14" s="21" t="s">
        <v>141</v>
      </c>
      <c r="D14" s="21" t="s">
        <v>119</v>
      </c>
    </row>
    <row r="15" customFormat="false" ht="15" hidden="false" customHeight="false" outlineLevel="0" collapsed="false">
      <c r="A15" s="5" t="s">
        <v>142</v>
      </c>
      <c r="B15" s="5" t="s">
        <v>121</v>
      </c>
      <c r="C15" s="5" t="s">
        <v>143</v>
      </c>
      <c r="D15" s="5" t="s">
        <v>144</v>
      </c>
    </row>
    <row r="16" customFormat="false" ht="15" hidden="false" customHeight="false" outlineLevel="0" collapsed="false">
      <c r="A16" s="5" t="s">
        <v>145</v>
      </c>
      <c r="B16" s="5" t="s">
        <v>129</v>
      </c>
      <c r="C16" s="5" t="s">
        <v>146</v>
      </c>
      <c r="D16" s="5" t="s">
        <v>147</v>
      </c>
    </row>
    <row r="17" customFormat="false" ht="15" hidden="false" customHeight="false" outlineLevel="0" collapsed="false">
      <c r="A17" s="5" t="s">
        <v>148</v>
      </c>
      <c r="B17" s="5" t="s">
        <v>121</v>
      </c>
      <c r="C17" s="5" t="s">
        <v>149</v>
      </c>
      <c r="D17" s="5" t="s">
        <v>144</v>
      </c>
    </row>
    <row r="18" customFormat="false" ht="15" hidden="false" customHeight="false" outlineLevel="0" collapsed="false">
      <c r="A18" s="5" t="s">
        <v>150</v>
      </c>
      <c r="B18" s="5" t="s">
        <v>125</v>
      </c>
      <c r="C18" s="5" t="s">
        <v>151</v>
      </c>
      <c r="D18" s="5" t="s">
        <v>152</v>
      </c>
    </row>
    <row r="19" customFormat="false" ht="15" hidden="false" customHeight="false" outlineLevel="0" collapsed="false">
      <c r="A19" s="5" t="s">
        <v>153</v>
      </c>
      <c r="B19" s="5" t="s">
        <v>129</v>
      </c>
      <c r="C19" s="5" t="s">
        <v>154</v>
      </c>
      <c r="D19" s="5" t="s">
        <v>147</v>
      </c>
    </row>
  </sheetData>
  <mergeCells count="3">
    <mergeCell ref="A1:F1"/>
    <mergeCell ref="A2:F2"/>
    <mergeCell ref="A13:D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0"/>
    <col collapsed="false" customWidth="true" hidden="false" outlineLevel="0" max="3" min="3" style="0" width="10"/>
    <col collapsed="false" customWidth="true" hidden="false" outlineLevel="0" max="5" min="4" style="0" width="12"/>
    <col collapsed="false" customWidth="true" hidden="false" outlineLevel="0" max="8" min="6" style="0" width="14"/>
    <col collapsed="false" customWidth="true" hidden="false" outlineLevel="0" max="9" min="9" style="0" width="20"/>
  </cols>
  <sheetData>
    <row r="1" customFormat="false" ht="17.35" hidden="false" customHeight="false" outlineLevel="0" collapsed="false">
      <c r="A1" s="25" t="s">
        <v>155</v>
      </c>
      <c r="B1" s="25"/>
      <c r="C1" s="25"/>
      <c r="D1" s="25"/>
      <c r="E1" s="25"/>
      <c r="F1" s="25"/>
      <c r="G1" s="25"/>
      <c r="H1" s="25"/>
      <c r="I1" s="25"/>
      <c r="J1" s="25"/>
    </row>
    <row r="3" customFormat="false" ht="15" hidden="false" customHeight="false" outlineLevel="0" collapsed="false">
      <c r="A3" s="21" t="s">
        <v>3</v>
      </c>
      <c r="B3" s="21" t="s">
        <v>156</v>
      </c>
      <c r="C3" s="21" t="s">
        <v>157</v>
      </c>
      <c r="D3" s="21" t="s">
        <v>158</v>
      </c>
      <c r="E3" s="21" t="s">
        <v>6</v>
      </c>
      <c r="F3" s="21" t="s">
        <v>159</v>
      </c>
      <c r="G3" s="21" t="s">
        <v>160</v>
      </c>
      <c r="H3" s="21" t="s">
        <v>161</v>
      </c>
      <c r="I3" s="21" t="s">
        <v>162</v>
      </c>
    </row>
    <row r="4" customFormat="false" ht="15" hidden="false" customHeight="false" outlineLevel="0" collapsed="false">
      <c r="A4" s="5" t="s">
        <v>163</v>
      </c>
      <c r="B4" s="5" t="s">
        <v>164</v>
      </c>
      <c r="C4" s="5" t="s">
        <v>165</v>
      </c>
      <c r="D4" s="6" t="n">
        <v>238300</v>
      </c>
      <c r="E4" s="7" t="n">
        <v>1</v>
      </c>
      <c r="F4" s="8" t="n">
        <v>26.12</v>
      </c>
      <c r="G4" s="8" t="n">
        <v>29.49</v>
      </c>
      <c r="H4" s="11" t="n">
        <v>61340</v>
      </c>
      <c r="I4" s="5" t="s">
        <v>166</v>
      </c>
    </row>
    <row r="5" customFormat="false" ht="15" hidden="false" customHeight="false" outlineLevel="0" collapsed="false">
      <c r="A5" s="5" t="s">
        <v>167</v>
      </c>
      <c r="B5" s="5" t="s">
        <v>168</v>
      </c>
      <c r="C5" s="5" t="s">
        <v>169</v>
      </c>
      <c r="D5" s="6" t="n">
        <v>16540</v>
      </c>
      <c r="E5" s="7" t="n">
        <v>0.0694</v>
      </c>
      <c r="F5" s="8" t="n">
        <v>46.15</v>
      </c>
      <c r="G5" s="8" t="n">
        <v>53.8</v>
      </c>
      <c r="H5" s="11" t="n">
        <v>111910</v>
      </c>
      <c r="I5" s="5" t="s">
        <v>166</v>
      </c>
    </row>
    <row r="6" customFormat="false" ht="15" hidden="false" customHeight="false" outlineLevel="0" collapsed="false">
      <c r="A6" s="5" t="s">
        <v>63</v>
      </c>
      <c r="B6" s="5" t="s">
        <v>64</v>
      </c>
      <c r="C6" s="5" t="s">
        <v>170</v>
      </c>
      <c r="D6" s="6" t="n">
        <v>8980</v>
      </c>
      <c r="E6" s="7" t="n">
        <v>0.0377</v>
      </c>
      <c r="F6" s="8" t="n">
        <v>45.37</v>
      </c>
      <c r="G6" s="8" t="n">
        <v>52.13</v>
      </c>
      <c r="H6" s="11" t="n">
        <v>108430</v>
      </c>
      <c r="I6" s="5" t="s">
        <v>166</v>
      </c>
    </row>
    <row r="7" customFormat="false" ht="15" hidden="false" customHeight="false" outlineLevel="0" collapsed="false">
      <c r="A7" s="5" t="s">
        <v>65</v>
      </c>
      <c r="B7" s="5" t="s">
        <v>66</v>
      </c>
      <c r="C7" s="5" t="s">
        <v>170</v>
      </c>
      <c r="D7" s="6" t="n">
        <v>5650</v>
      </c>
      <c r="E7" s="7" t="n">
        <v>0.0237</v>
      </c>
      <c r="F7" s="8" t="n">
        <v>44.81</v>
      </c>
      <c r="G7" s="8" t="n">
        <v>53.27</v>
      </c>
      <c r="H7" s="11" t="n">
        <v>110800</v>
      </c>
      <c r="I7" s="5" t="s">
        <v>166</v>
      </c>
    </row>
    <row r="8" customFormat="false" ht="15" hidden="false" customHeight="false" outlineLevel="0" collapsed="false">
      <c r="A8" s="5" t="s">
        <v>53</v>
      </c>
      <c r="B8" s="5" t="s">
        <v>54</v>
      </c>
      <c r="C8" s="5" t="s">
        <v>170</v>
      </c>
      <c r="D8" s="6" t="n">
        <v>640</v>
      </c>
      <c r="E8" s="7" t="n">
        <v>0.0027</v>
      </c>
      <c r="F8" s="8" t="n">
        <v>80.77</v>
      </c>
      <c r="G8" s="8" t="n">
        <v>75.84</v>
      </c>
      <c r="H8" s="11" t="n">
        <v>157750</v>
      </c>
      <c r="I8" s="5" t="s">
        <v>166</v>
      </c>
    </row>
    <row r="9" customFormat="false" ht="15" hidden="false" customHeight="false" outlineLevel="0" collapsed="false">
      <c r="A9" s="5" t="s">
        <v>69</v>
      </c>
      <c r="B9" s="5" t="s">
        <v>70</v>
      </c>
      <c r="C9" s="5" t="s">
        <v>170</v>
      </c>
      <c r="D9" s="6" t="n">
        <v>340</v>
      </c>
      <c r="E9" s="7" t="n">
        <v>0.0014</v>
      </c>
      <c r="F9" s="8" t="n">
        <v>54.54</v>
      </c>
      <c r="G9" s="8" t="n">
        <v>62.23</v>
      </c>
      <c r="H9" s="11" t="n">
        <v>129440</v>
      </c>
      <c r="I9" s="5" t="s">
        <v>166</v>
      </c>
    </row>
    <row r="10" customFormat="false" ht="15" hidden="false" customHeight="false" outlineLevel="0" collapsed="false">
      <c r="A10" s="5" t="s">
        <v>71</v>
      </c>
      <c r="B10" s="5" t="s">
        <v>72</v>
      </c>
      <c r="C10" s="5" t="s">
        <v>170</v>
      </c>
      <c r="D10" s="6" t="n">
        <v>160</v>
      </c>
      <c r="E10" s="7" t="n">
        <v>0.0007</v>
      </c>
      <c r="F10" s="8" t="n">
        <v>76.98</v>
      </c>
      <c r="G10" s="8" t="n">
        <v>89.83</v>
      </c>
      <c r="H10" s="11" t="n">
        <v>186850</v>
      </c>
      <c r="I10" s="5" t="s">
        <v>166</v>
      </c>
    </row>
    <row r="11" customFormat="false" ht="15" hidden="false" customHeight="false" outlineLevel="0" collapsed="false">
      <c r="A11" s="5" t="s">
        <v>171</v>
      </c>
      <c r="B11" s="5" t="s">
        <v>172</v>
      </c>
      <c r="C11" s="5" t="s">
        <v>169</v>
      </c>
      <c r="D11" s="6" t="n">
        <v>13150</v>
      </c>
      <c r="E11" s="7" t="n">
        <v>0.0552</v>
      </c>
      <c r="F11" s="8" t="n">
        <v>36</v>
      </c>
      <c r="G11" s="8" t="n">
        <v>37.62</v>
      </c>
      <c r="H11" s="11" t="n">
        <v>78260</v>
      </c>
      <c r="I11" s="5" t="s">
        <v>166</v>
      </c>
    </row>
    <row r="12" customFormat="false" ht="15" hidden="false" customHeight="false" outlineLevel="0" collapsed="false">
      <c r="A12" s="5" t="s">
        <v>37</v>
      </c>
      <c r="B12" s="5" t="s">
        <v>38</v>
      </c>
      <c r="C12" s="5" t="s">
        <v>170</v>
      </c>
      <c r="D12" s="6" t="n">
        <v>6410</v>
      </c>
      <c r="E12" s="7" t="n">
        <v>0.0269</v>
      </c>
      <c r="F12" s="8" t="n">
        <v>36.62</v>
      </c>
      <c r="G12" s="8" t="n">
        <v>37.29</v>
      </c>
      <c r="H12" s="11" t="n">
        <v>77560</v>
      </c>
      <c r="I12" s="5" t="s">
        <v>166</v>
      </c>
    </row>
    <row r="13" customFormat="false" ht="15" hidden="false" customHeight="false" outlineLevel="0" collapsed="false">
      <c r="A13" s="5" t="s">
        <v>47</v>
      </c>
      <c r="B13" s="5" t="s">
        <v>48</v>
      </c>
      <c r="C13" s="5" t="s">
        <v>170</v>
      </c>
      <c r="D13" s="6" t="n">
        <v>3190</v>
      </c>
      <c r="E13" s="7" t="n">
        <v>0.0134</v>
      </c>
      <c r="F13" s="8" t="n">
        <v>37.76</v>
      </c>
      <c r="G13" s="8" t="n">
        <v>39.92</v>
      </c>
      <c r="H13" s="11" t="n">
        <v>83040</v>
      </c>
      <c r="I13" s="5" t="s">
        <v>166</v>
      </c>
    </row>
    <row r="14" customFormat="false" ht="15" hidden="false" customHeight="false" outlineLevel="0" collapsed="false">
      <c r="A14" s="5" t="s">
        <v>67</v>
      </c>
      <c r="B14" s="5" t="s">
        <v>68</v>
      </c>
      <c r="C14" s="5" t="s">
        <v>170</v>
      </c>
      <c r="D14" s="6" t="n">
        <v>1580</v>
      </c>
      <c r="E14" s="7" t="n">
        <v>0.0066</v>
      </c>
      <c r="F14" s="8" t="n">
        <v>37.68</v>
      </c>
      <c r="G14" s="8" t="n">
        <v>42.08</v>
      </c>
      <c r="H14" s="11" t="n">
        <v>87520</v>
      </c>
      <c r="I14" s="5" t="s">
        <v>166</v>
      </c>
    </row>
    <row r="15" customFormat="false" ht="15" hidden="false" customHeight="false" outlineLevel="0" collapsed="false">
      <c r="A15" s="5" t="s">
        <v>57</v>
      </c>
      <c r="B15" s="5" t="s">
        <v>58</v>
      </c>
      <c r="C15" s="5" t="s">
        <v>170</v>
      </c>
      <c r="D15" s="6" t="n">
        <v>510</v>
      </c>
      <c r="E15" s="7" t="n">
        <v>0.0021</v>
      </c>
      <c r="F15" s="8" t="n">
        <v>30</v>
      </c>
      <c r="G15" s="8" t="n">
        <v>33.92</v>
      </c>
      <c r="H15" s="11" t="n">
        <v>70550</v>
      </c>
      <c r="I15" s="5" t="s">
        <v>166</v>
      </c>
    </row>
    <row r="16" customFormat="false" ht="15" hidden="false" customHeight="false" outlineLevel="0" collapsed="false">
      <c r="A16" s="5" t="s">
        <v>173</v>
      </c>
      <c r="B16" s="5" t="s">
        <v>174</v>
      </c>
      <c r="C16" s="5" t="s">
        <v>169</v>
      </c>
      <c r="D16" s="6" t="n">
        <v>9570</v>
      </c>
      <c r="E16" s="7" t="n">
        <v>0.0401</v>
      </c>
      <c r="F16" s="8" t="n">
        <v>31.03</v>
      </c>
      <c r="G16" s="8" t="n">
        <v>36.4</v>
      </c>
      <c r="H16" s="11" t="n">
        <v>75710</v>
      </c>
      <c r="I16" s="5" t="s">
        <v>166</v>
      </c>
    </row>
    <row r="17" customFormat="false" ht="15" hidden="false" customHeight="false" outlineLevel="0" collapsed="false">
      <c r="A17" s="5" t="s">
        <v>39</v>
      </c>
      <c r="B17" s="5" t="s">
        <v>40</v>
      </c>
      <c r="C17" s="5" t="s">
        <v>170</v>
      </c>
      <c r="D17" s="6" t="n">
        <v>7580</v>
      </c>
      <c r="E17" s="7" t="n">
        <v>0.0318</v>
      </c>
      <c r="F17" s="8" t="n">
        <v>30.79</v>
      </c>
      <c r="G17" s="8" t="n">
        <v>35.88</v>
      </c>
      <c r="H17" s="11" t="n">
        <v>74630</v>
      </c>
      <c r="I17" s="5" t="s">
        <v>166</v>
      </c>
    </row>
    <row r="18" customFormat="false" ht="15" hidden="false" customHeight="false" outlineLevel="0" collapsed="false">
      <c r="A18" s="5" t="s">
        <v>175</v>
      </c>
      <c r="B18" s="5" t="s">
        <v>176</v>
      </c>
      <c r="C18" s="5" t="s">
        <v>170</v>
      </c>
      <c r="D18" s="6" t="n">
        <v>1550</v>
      </c>
      <c r="E18" s="7" t="n">
        <v>0.0065</v>
      </c>
      <c r="F18" s="8" t="n">
        <v>36.16</v>
      </c>
      <c r="G18" s="8" t="n">
        <v>39.2</v>
      </c>
      <c r="H18" s="11" t="n">
        <v>81540</v>
      </c>
      <c r="I18" s="5" t="s">
        <v>166</v>
      </c>
    </row>
    <row r="19" customFormat="false" ht="15" hidden="false" customHeight="false" outlineLevel="0" collapsed="false">
      <c r="A19" s="5" t="s">
        <v>177</v>
      </c>
      <c r="B19" s="5" t="s">
        <v>178</v>
      </c>
      <c r="C19" s="5" t="s">
        <v>169</v>
      </c>
      <c r="D19" s="6" t="n">
        <v>26700</v>
      </c>
      <c r="E19" s="7" t="n">
        <v>0.112</v>
      </c>
      <c r="F19" s="8" t="n">
        <v>21.42</v>
      </c>
      <c r="G19" s="8" t="n">
        <v>22.69</v>
      </c>
      <c r="H19" s="11" t="n">
        <v>47190</v>
      </c>
      <c r="I19" s="5" t="s">
        <v>166</v>
      </c>
    </row>
    <row r="20" customFormat="false" ht="15" hidden="false" customHeight="false" outlineLevel="0" collapsed="false">
      <c r="A20" s="5" t="s">
        <v>41</v>
      </c>
      <c r="B20" s="5" t="s">
        <v>42</v>
      </c>
      <c r="C20" s="5" t="s">
        <v>170</v>
      </c>
      <c r="D20" s="6" t="n">
        <v>10520</v>
      </c>
      <c r="E20" s="7" t="n">
        <v>0.0442</v>
      </c>
      <c r="F20" s="8" t="n">
        <v>21.35</v>
      </c>
      <c r="G20" s="8" t="n">
        <v>21.77</v>
      </c>
      <c r="H20" s="11" t="n">
        <v>45280</v>
      </c>
      <c r="I20" s="5" t="s">
        <v>166</v>
      </c>
    </row>
    <row r="21" customFormat="false" ht="15" hidden="false" customHeight="false" outlineLevel="0" collapsed="false">
      <c r="A21" s="5" t="s">
        <v>43</v>
      </c>
      <c r="B21" s="5" t="s">
        <v>44</v>
      </c>
      <c r="C21" s="5" t="s">
        <v>170</v>
      </c>
      <c r="D21" s="6" t="n">
        <v>5190</v>
      </c>
      <c r="E21" s="7" t="n">
        <v>0.0218</v>
      </c>
      <c r="F21" s="8" t="n">
        <v>18.18</v>
      </c>
      <c r="G21" s="8" t="n">
        <v>19.59</v>
      </c>
      <c r="H21" s="11" t="n">
        <v>40740</v>
      </c>
      <c r="I21" s="5" t="s">
        <v>166</v>
      </c>
    </row>
    <row r="22" customFormat="false" ht="15" hidden="false" customHeight="false" outlineLevel="0" collapsed="false">
      <c r="A22" s="5" t="s">
        <v>45</v>
      </c>
      <c r="B22" s="5" t="s">
        <v>179</v>
      </c>
      <c r="C22" s="5" t="s">
        <v>170</v>
      </c>
      <c r="D22" s="6" t="n">
        <v>4340</v>
      </c>
      <c r="E22" s="7" t="n">
        <v>0.0182</v>
      </c>
      <c r="F22" s="8" t="n">
        <v>22.22</v>
      </c>
      <c r="G22" s="8" t="n">
        <v>24.08</v>
      </c>
      <c r="H22" s="11" t="n">
        <v>50090</v>
      </c>
      <c r="I22" s="5" t="s">
        <v>166</v>
      </c>
    </row>
    <row r="23" customFormat="false" ht="15" hidden="false" customHeight="false" outlineLevel="0" collapsed="false">
      <c r="A23" s="5" t="s">
        <v>49</v>
      </c>
      <c r="B23" s="5" t="s">
        <v>180</v>
      </c>
      <c r="C23" s="5" t="s">
        <v>170</v>
      </c>
      <c r="D23" s="6" t="n">
        <v>2230</v>
      </c>
      <c r="E23" s="7" t="n">
        <v>0.0094</v>
      </c>
      <c r="F23" s="8" t="n">
        <v>27</v>
      </c>
      <c r="G23" s="8" t="n">
        <v>30.84</v>
      </c>
      <c r="H23" s="11" t="n">
        <v>64160</v>
      </c>
      <c r="I23" s="5" t="s">
        <v>166</v>
      </c>
    </row>
    <row r="24" customFormat="false" ht="15" hidden="false" customHeight="false" outlineLevel="0" collapsed="false">
      <c r="A24" s="5" t="s">
        <v>51</v>
      </c>
      <c r="B24" s="5" t="s">
        <v>181</v>
      </c>
      <c r="C24" s="5" t="s">
        <v>170</v>
      </c>
      <c r="D24" s="6" t="n">
        <v>1160</v>
      </c>
      <c r="E24" s="7" t="n">
        <v>0.0049</v>
      </c>
      <c r="F24" s="8" t="n">
        <v>17.98</v>
      </c>
      <c r="G24" s="8" t="n">
        <v>18.2</v>
      </c>
      <c r="H24" s="11" t="n">
        <v>37850</v>
      </c>
      <c r="I24" s="5" t="s">
        <v>166</v>
      </c>
    </row>
    <row r="25" customFormat="false" ht="15" hidden="false" customHeight="false" outlineLevel="0" collapsed="false">
      <c r="A25" s="5" t="s">
        <v>55</v>
      </c>
      <c r="B25" s="5" t="s">
        <v>56</v>
      </c>
      <c r="C25" s="5" t="s">
        <v>170</v>
      </c>
      <c r="D25" s="6" t="n">
        <v>620</v>
      </c>
      <c r="E25" s="7" t="n">
        <v>0.0026</v>
      </c>
      <c r="F25" s="8" t="n">
        <v>19.48</v>
      </c>
      <c r="G25" s="8" t="n">
        <v>21.23</v>
      </c>
      <c r="H25" s="11" t="n">
        <v>44150</v>
      </c>
      <c r="I25" s="5" t="s">
        <v>166</v>
      </c>
    </row>
    <row r="26" customFormat="false" ht="15" hidden="false" customHeight="false" outlineLevel="0" collapsed="false">
      <c r="A26" s="5" t="s">
        <v>59</v>
      </c>
      <c r="B26" s="5" t="s">
        <v>60</v>
      </c>
      <c r="C26" s="5" t="s">
        <v>170</v>
      </c>
      <c r="D26" s="6" t="n">
        <v>360</v>
      </c>
      <c r="E26" s="7" t="n">
        <v>0.0015</v>
      </c>
      <c r="F26" s="8" t="n">
        <v>25.86</v>
      </c>
      <c r="G26" s="8" t="n">
        <v>26.02</v>
      </c>
      <c r="H26" s="11" t="n">
        <v>54120</v>
      </c>
      <c r="I26" s="5" t="s">
        <v>166</v>
      </c>
    </row>
    <row r="27" customFormat="false" ht="15" hidden="false" customHeight="false" outlineLevel="0" collapsed="false">
      <c r="A27" s="5" t="s">
        <v>61</v>
      </c>
      <c r="B27" s="5" t="s">
        <v>62</v>
      </c>
      <c r="C27" s="5" t="s">
        <v>170</v>
      </c>
      <c r="D27" s="6" t="n">
        <v>210</v>
      </c>
      <c r="E27" s="7" t="n">
        <v>0.0009</v>
      </c>
      <c r="F27" s="8" t="n">
        <v>20.24</v>
      </c>
      <c r="G27" s="8" t="n">
        <v>22.04</v>
      </c>
      <c r="H27" s="11" t="n">
        <v>45840</v>
      </c>
      <c r="I27" s="5" t="s">
        <v>166</v>
      </c>
    </row>
    <row r="28" customFormat="false" ht="15" hidden="false" customHeight="false" outlineLevel="0" collapsed="false">
      <c r="A28" s="5" t="s">
        <v>182</v>
      </c>
      <c r="B28" s="5" t="s">
        <v>183</v>
      </c>
      <c r="C28" s="5" t="s">
        <v>169</v>
      </c>
      <c r="D28" s="6" t="n">
        <v>164530</v>
      </c>
      <c r="E28" s="7" t="n">
        <v>0.6904</v>
      </c>
      <c r="F28" s="8" t="n">
        <v>24.72</v>
      </c>
      <c r="G28" s="8" t="n">
        <v>27.29</v>
      </c>
      <c r="H28" s="11" t="n">
        <v>56760</v>
      </c>
      <c r="I28" s="5" t="s">
        <v>166</v>
      </c>
    </row>
    <row r="29" customFormat="false" ht="15" hidden="false" customHeight="false" outlineLevel="0" collapsed="false">
      <c r="A29" s="5" t="s">
        <v>17</v>
      </c>
      <c r="B29" s="5" t="s">
        <v>18</v>
      </c>
      <c r="C29" s="5" t="s">
        <v>170</v>
      </c>
      <c r="D29" s="6" t="n">
        <v>119950</v>
      </c>
      <c r="E29" s="7" t="n">
        <v>0.5033</v>
      </c>
      <c r="F29" s="8" t="n">
        <v>24.01</v>
      </c>
      <c r="G29" s="8" t="n">
        <v>26.71</v>
      </c>
      <c r="H29" s="11" t="n">
        <v>55550</v>
      </c>
      <c r="I29" s="5" t="s">
        <v>166</v>
      </c>
    </row>
    <row r="30" customFormat="false" ht="15" hidden="false" customHeight="false" outlineLevel="0" collapsed="false">
      <c r="A30" s="5" t="s">
        <v>19</v>
      </c>
      <c r="B30" s="5" t="s">
        <v>184</v>
      </c>
      <c r="C30" s="5" t="s">
        <v>170</v>
      </c>
      <c r="D30" s="6" t="n">
        <v>20680</v>
      </c>
      <c r="E30" s="7" t="n">
        <v>0.0868</v>
      </c>
      <c r="F30" s="8" t="n">
        <v>30.65</v>
      </c>
      <c r="G30" s="8" t="n">
        <v>33.56</v>
      </c>
      <c r="H30" s="11" t="n">
        <v>69790</v>
      </c>
      <c r="I30" s="5" t="s">
        <v>166</v>
      </c>
    </row>
    <row r="31" customFormat="false" ht="15" hidden="false" customHeight="false" outlineLevel="0" collapsed="false">
      <c r="A31" s="5" t="s">
        <v>21</v>
      </c>
      <c r="B31" s="5" t="s">
        <v>22</v>
      </c>
      <c r="C31" s="5" t="s">
        <v>170</v>
      </c>
      <c r="D31" s="6" t="n">
        <v>7530</v>
      </c>
      <c r="E31" s="7" t="n">
        <v>0.0316</v>
      </c>
      <c r="F31" s="8" t="n">
        <v>19.95</v>
      </c>
      <c r="G31" s="8" t="n">
        <v>21.53</v>
      </c>
      <c r="H31" s="11" t="n">
        <v>44770</v>
      </c>
      <c r="I31" s="5" t="s">
        <v>166</v>
      </c>
    </row>
    <row r="32" customFormat="false" ht="15" hidden="false" customHeight="false" outlineLevel="0" collapsed="false">
      <c r="A32" s="5" t="s">
        <v>23</v>
      </c>
      <c r="B32" s="5" t="s">
        <v>24</v>
      </c>
      <c r="C32" s="5" t="s">
        <v>170</v>
      </c>
      <c r="D32" s="6" t="n">
        <v>6590</v>
      </c>
      <c r="E32" s="7" t="n">
        <v>0.0277</v>
      </c>
      <c r="F32" s="8" t="n">
        <v>26.78</v>
      </c>
      <c r="G32" s="8" t="n">
        <v>28.66</v>
      </c>
      <c r="H32" s="11" t="n">
        <v>59620</v>
      </c>
      <c r="I32" s="5" t="s">
        <v>166</v>
      </c>
    </row>
    <row r="33" customFormat="false" ht="15" hidden="false" customHeight="false" outlineLevel="0" collapsed="false">
      <c r="A33" s="5" t="s">
        <v>25</v>
      </c>
      <c r="B33" s="5" t="s">
        <v>26</v>
      </c>
      <c r="C33" s="5" t="s">
        <v>170</v>
      </c>
      <c r="D33" s="6" t="n">
        <v>4320</v>
      </c>
      <c r="E33" s="7" t="n">
        <v>0.0181</v>
      </c>
      <c r="F33" s="8" t="n">
        <v>18.62</v>
      </c>
      <c r="G33" s="8" t="n">
        <v>20.44</v>
      </c>
      <c r="H33" s="11" t="n">
        <v>42520</v>
      </c>
      <c r="I33" s="5" t="s">
        <v>166</v>
      </c>
    </row>
    <row r="34" customFormat="false" ht="15" hidden="false" customHeight="false" outlineLevel="0" collapsed="false">
      <c r="A34" s="5" t="s">
        <v>27</v>
      </c>
      <c r="B34" s="5" t="s">
        <v>28</v>
      </c>
      <c r="C34" s="5" t="s">
        <v>170</v>
      </c>
      <c r="D34" s="6" t="n">
        <v>2370</v>
      </c>
      <c r="E34" s="7" t="n">
        <v>0.01</v>
      </c>
      <c r="F34" s="8" t="n">
        <v>25.92</v>
      </c>
      <c r="G34" s="8" t="n">
        <v>29.17</v>
      </c>
      <c r="H34" s="11" t="n">
        <v>60680</v>
      </c>
      <c r="I34" s="5" t="s">
        <v>166</v>
      </c>
    </row>
    <row r="35" customFormat="false" ht="15" hidden="false" customHeight="false" outlineLevel="0" collapsed="false">
      <c r="A35" s="5" t="s">
        <v>31</v>
      </c>
      <c r="B35" s="5" t="s">
        <v>32</v>
      </c>
      <c r="C35" s="5" t="s">
        <v>170</v>
      </c>
      <c r="D35" s="6" t="n">
        <v>180</v>
      </c>
      <c r="E35" s="7" t="n">
        <v>0.0007</v>
      </c>
      <c r="F35" s="8" t="n">
        <v>26.72</v>
      </c>
      <c r="G35" s="8" t="n">
        <v>26.19</v>
      </c>
      <c r="H35" s="11" t="n">
        <v>54470</v>
      </c>
      <c r="I35" s="5" t="s">
        <v>166</v>
      </c>
    </row>
    <row r="36" customFormat="false" ht="15" hidden="false" customHeight="false" outlineLevel="0" collapsed="false">
      <c r="A36" s="5" t="s">
        <v>33</v>
      </c>
      <c r="B36" s="5" t="s">
        <v>34</v>
      </c>
      <c r="C36" s="5" t="s">
        <v>170</v>
      </c>
      <c r="D36" s="6" t="n">
        <v>170</v>
      </c>
      <c r="E36" s="7" t="n">
        <v>0.0007</v>
      </c>
      <c r="F36" s="8" t="n">
        <v>25.4</v>
      </c>
      <c r="G36" s="8" t="n">
        <v>27.68</v>
      </c>
      <c r="H36" s="11" t="n">
        <v>57570</v>
      </c>
      <c r="I36" s="5" t="s">
        <v>166</v>
      </c>
    </row>
    <row r="37" customFormat="false" ht="15" hidden="false" customHeight="false" outlineLevel="0" collapsed="false">
      <c r="A37" s="5" t="s">
        <v>29</v>
      </c>
      <c r="B37" s="5" t="s">
        <v>185</v>
      </c>
      <c r="C37" s="5" t="s">
        <v>170</v>
      </c>
      <c r="D37" s="6" t="n">
        <v>130</v>
      </c>
      <c r="E37" s="7" t="n">
        <v>0.0005</v>
      </c>
      <c r="F37" s="8" t="n">
        <v>33.92</v>
      </c>
      <c r="G37" s="8" t="n">
        <v>32.5</v>
      </c>
      <c r="H37" s="11" t="n">
        <v>67600</v>
      </c>
      <c r="I37" s="5" t="s">
        <v>166</v>
      </c>
    </row>
    <row r="38" customFormat="false" ht="15" hidden="false" customHeight="false" outlineLevel="0" collapsed="false">
      <c r="A38" s="5" t="s">
        <v>186</v>
      </c>
      <c r="B38" s="5" t="s">
        <v>187</v>
      </c>
      <c r="C38" s="5" t="s">
        <v>169</v>
      </c>
      <c r="D38" s="6" t="n">
        <v>1430</v>
      </c>
      <c r="E38" s="7" t="n">
        <v>0.006</v>
      </c>
      <c r="F38" s="8" t="n">
        <v>24.27</v>
      </c>
      <c r="G38" s="8" t="n">
        <v>25.3</v>
      </c>
      <c r="H38" s="11" t="n">
        <v>52630</v>
      </c>
      <c r="I38" s="5" t="s">
        <v>166</v>
      </c>
    </row>
    <row r="39" customFormat="false" ht="15" hidden="false" customHeight="false" outlineLevel="0" collapsed="false">
      <c r="A39" s="5" t="s">
        <v>85</v>
      </c>
      <c r="B39" s="5" t="s">
        <v>188</v>
      </c>
      <c r="C39" s="5" t="s">
        <v>170</v>
      </c>
      <c r="D39" s="6" t="n">
        <v>430</v>
      </c>
      <c r="E39" s="7" t="n">
        <v>0.0018</v>
      </c>
      <c r="F39" s="8" t="n">
        <v>25</v>
      </c>
      <c r="G39" s="8" t="n">
        <v>25.09</v>
      </c>
      <c r="H39" s="11" t="n">
        <v>52190</v>
      </c>
      <c r="I39" s="5" t="s">
        <v>166</v>
      </c>
    </row>
    <row r="40" customFormat="false" ht="15" hidden="false" customHeight="false" outlineLevel="0" collapsed="false">
      <c r="A40" s="5" t="s">
        <v>79</v>
      </c>
      <c r="B40" s="5" t="s">
        <v>80</v>
      </c>
      <c r="C40" s="5" t="s">
        <v>170</v>
      </c>
      <c r="D40" s="6" t="n">
        <v>170</v>
      </c>
      <c r="E40" s="7" t="n">
        <v>0.0007</v>
      </c>
      <c r="F40" s="8" t="n">
        <v>27.64</v>
      </c>
      <c r="G40" s="8" t="n">
        <v>26.68</v>
      </c>
      <c r="H40" s="11" t="n">
        <v>55490</v>
      </c>
      <c r="I40" s="5" t="s">
        <v>166</v>
      </c>
    </row>
    <row r="41" customFormat="false" ht="15" hidden="false" customHeight="false" outlineLevel="0" collapsed="false">
      <c r="A41" s="5" t="s">
        <v>83</v>
      </c>
      <c r="B41" s="5" t="s">
        <v>189</v>
      </c>
      <c r="C41" s="5" t="s">
        <v>170</v>
      </c>
      <c r="D41" s="6" t="n">
        <v>170</v>
      </c>
      <c r="E41" s="7" t="n">
        <v>0.0007</v>
      </c>
      <c r="F41" s="8" t="n">
        <v>24.27</v>
      </c>
      <c r="G41" s="8" t="n">
        <v>26.91</v>
      </c>
      <c r="H41" s="11" t="n">
        <v>55970</v>
      </c>
      <c r="I41" s="5" t="s">
        <v>166</v>
      </c>
    </row>
    <row r="42" customFormat="false" ht="15" hidden="false" customHeight="false" outlineLevel="0" collapsed="false">
      <c r="A42" s="5" t="s">
        <v>190</v>
      </c>
      <c r="B42" s="5" t="s">
        <v>191</v>
      </c>
      <c r="C42" s="5" t="s">
        <v>169</v>
      </c>
      <c r="D42" s="6" t="n">
        <v>4110</v>
      </c>
      <c r="E42" s="7" t="n">
        <v>0.0172</v>
      </c>
      <c r="F42" s="8" t="n">
        <v>22.76</v>
      </c>
      <c r="G42" s="8" t="n">
        <v>24.12</v>
      </c>
      <c r="H42" s="11" t="n">
        <v>50170</v>
      </c>
      <c r="I42" s="5" t="s">
        <v>166</v>
      </c>
    </row>
    <row r="43" customFormat="false" ht="15" hidden="false" customHeight="false" outlineLevel="0" collapsed="false">
      <c r="A43" s="5" t="s">
        <v>75</v>
      </c>
      <c r="B43" s="5" t="s">
        <v>192</v>
      </c>
      <c r="C43" s="5" t="s">
        <v>170</v>
      </c>
      <c r="D43" s="6" t="n">
        <v>870</v>
      </c>
      <c r="E43" s="7" t="n">
        <v>0.0036</v>
      </c>
      <c r="F43" s="8" t="n">
        <v>25.77</v>
      </c>
      <c r="G43" s="8" t="n">
        <v>26.11</v>
      </c>
      <c r="H43" s="11" t="n">
        <v>54310</v>
      </c>
      <c r="I43" s="5" t="s">
        <v>166</v>
      </c>
    </row>
    <row r="44" customFormat="false" ht="15" hidden="false" customHeight="false" outlineLevel="0" collapsed="false">
      <c r="A44" s="5" t="s">
        <v>77</v>
      </c>
      <c r="B44" s="5" t="s">
        <v>78</v>
      </c>
      <c r="C44" s="5" t="s">
        <v>170</v>
      </c>
      <c r="D44" s="6" t="n">
        <v>850</v>
      </c>
      <c r="E44" s="7" t="n">
        <v>0.0036</v>
      </c>
      <c r="F44" s="8" t="n">
        <v>20.23</v>
      </c>
      <c r="G44" s="8" t="n">
        <v>20.52</v>
      </c>
      <c r="H44" s="11" t="n">
        <v>42670</v>
      </c>
      <c r="I44" s="5" t="s">
        <v>166</v>
      </c>
    </row>
    <row r="45" customFormat="false" ht="15" hidden="false" customHeight="false" outlineLevel="0" collapsed="false">
      <c r="A45" s="5" t="s">
        <v>81</v>
      </c>
      <c r="B45" s="5" t="s">
        <v>82</v>
      </c>
      <c r="C45" s="5" t="s">
        <v>170</v>
      </c>
      <c r="D45" s="6" t="n">
        <v>390</v>
      </c>
      <c r="E45" s="7" t="n">
        <v>0.0016</v>
      </c>
      <c r="F45" s="8" t="n">
        <v>32.37</v>
      </c>
      <c r="G45" s="8" t="n">
        <v>35.59</v>
      </c>
      <c r="H45" s="11" t="n">
        <v>74040</v>
      </c>
      <c r="I45" s="5" t="s">
        <v>166</v>
      </c>
    </row>
    <row r="46" customFormat="false" ht="15" hidden="false" customHeight="false" outlineLevel="0" collapsed="false">
      <c r="A46" s="5" t="s">
        <v>73</v>
      </c>
      <c r="B46" s="5" t="s">
        <v>193</v>
      </c>
      <c r="C46" s="5" t="s">
        <v>170</v>
      </c>
      <c r="D46" s="6" t="n">
        <v>460</v>
      </c>
      <c r="E46" s="7" t="n">
        <v>0.0019</v>
      </c>
      <c r="F46" s="8" t="n">
        <v>27.08</v>
      </c>
      <c r="G46" s="8" t="n">
        <v>30.81</v>
      </c>
      <c r="H46" s="11" t="n">
        <v>64080</v>
      </c>
      <c r="I46" s="5" t="s">
        <v>166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7" min="2" style="0" width="14"/>
  </cols>
  <sheetData>
    <row r="1" customFormat="false" ht="17.35" hidden="false" customHeight="false" outlineLevel="0" collapsed="false">
      <c r="A1" s="26" t="s">
        <v>194</v>
      </c>
      <c r="B1" s="26"/>
      <c r="C1" s="26"/>
      <c r="D1" s="26"/>
      <c r="E1" s="26"/>
      <c r="F1" s="26"/>
      <c r="G1" s="26"/>
      <c r="H1" s="26"/>
    </row>
    <row r="3" customFormat="false" ht="15" hidden="false" customHeight="false" outlineLevel="0" collapsed="false">
      <c r="A3" s="27" t="s">
        <v>195</v>
      </c>
    </row>
    <row r="5" customFormat="false" ht="15" hidden="false" customHeight="false" outlineLevel="0" collapsed="false">
      <c r="A5" s="21" t="s">
        <v>196</v>
      </c>
      <c r="B5" s="21" t="s">
        <v>197</v>
      </c>
      <c r="C5" s="21" t="s">
        <v>198</v>
      </c>
      <c r="D5" s="21" t="s">
        <v>199</v>
      </c>
      <c r="E5" s="21" t="s">
        <v>200</v>
      </c>
      <c r="F5" s="21" t="s">
        <v>201</v>
      </c>
      <c r="G5" s="21" t="s">
        <v>202</v>
      </c>
    </row>
    <row r="6" customFormat="false" ht="15" hidden="false" customHeight="false" outlineLevel="0" collapsed="false">
      <c r="A6" s="28" t="s">
        <v>203</v>
      </c>
      <c r="B6" s="28"/>
      <c r="C6" s="28"/>
      <c r="D6" s="28"/>
      <c r="E6" s="28"/>
      <c r="F6" s="28"/>
      <c r="G6" s="28"/>
    </row>
    <row r="7" customFormat="false" ht="15" hidden="false" customHeight="false" outlineLevel="0" collapsed="false">
      <c r="A7" s="5" t="s">
        <v>204</v>
      </c>
      <c r="B7" s="5" t="n">
        <v>4</v>
      </c>
      <c r="C7" s="5" t="n">
        <v>10</v>
      </c>
      <c r="D7" s="5" t="n">
        <v>20</v>
      </c>
      <c r="E7" s="5" t="n">
        <v>40</v>
      </c>
      <c r="F7" s="5" t="n">
        <v>100</v>
      </c>
      <c r="G7" s="5" t="s">
        <v>205</v>
      </c>
    </row>
    <row r="8" customFormat="false" ht="15" hidden="false" customHeight="false" outlineLevel="0" collapsed="false">
      <c r="A8" s="5" t="s">
        <v>206</v>
      </c>
      <c r="B8" s="5" t="n">
        <v>2</v>
      </c>
      <c r="C8" s="5" t="n">
        <v>4</v>
      </c>
      <c r="D8" s="5" t="n">
        <v>8</v>
      </c>
      <c r="E8" s="5" t="n">
        <v>16</v>
      </c>
      <c r="F8" s="5" t="n">
        <v>40</v>
      </c>
      <c r="G8" s="5" t="s">
        <v>207</v>
      </c>
    </row>
    <row r="9" customFormat="false" ht="15" hidden="false" customHeight="false" outlineLevel="0" collapsed="false">
      <c r="A9" s="5" t="s">
        <v>208</v>
      </c>
      <c r="B9" s="5" t="n">
        <v>1</v>
      </c>
      <c r="C9" s="5" t="n">
        <v>2</v>
      </c>
      <c r="D9" s="5" t="n">
        <v>4</v>
      </c>
      <c r="E9" s="5" t="n">
        <v>8</v>
      </c>
      <c r="F9" s="5" t="n">
        <v>20</v>
      </c>
      <c r="G9" s="5" t="s">
        <v>209</v>
      </c>
    </row>
    <row r="10" customFormat="false" ht="15" hidden="false" customHeight="false" outlineLevel="0" collapsed="false">
      <c r="A10" s="28" t="s">
        <v>210</v>
      </c>
      <c r="B10" s="28"/>
      <c r="C10" s="28"/>
      <c r="D10" s="28"/>
      <c r="E10" s="28"/>
      <c r="F10" s="28"/>
      <c r="G10" s="28"/>
    </row>
    <row r="11" customFormat="false" ht="15" hidden="false" customHeight="false" outlineLevel="0" collapsed="false">
      <c r="A11" s="5" t="s">
        <v>211</v>
      </c>
      <c r="B11" s="5" t="n">
        <v>0</v>
      </c>
      <c r="C11" s="5" t="n">
        <v>1</v>
      </c>
      <c r="D11" s="5" t="n">
        <v>2</v>
      </c>
      <c r="E11" s="5" t="n">
        <v>3</v>
      </c>
      <c r="F11" s="5" t="n">
        <v>8</v>
      </c>
      <c r="G11" s="5" t="s">
        <v>212</v>
      </c>
    </row>
    <row r="12" customFormat="false" ht="15" hidden="false" customHeight="false" outlineLevel="0" collapsed="false">
      <c r="A12" s="5" t="s">
        <v>213</v>
      </c>
      <c r="B12" s="5" t="n">
        <v>0</v>
      </c>
      <c r="C12" s="5" t="n">
        <v>1</v>
      </c>
      <c r="D12" s="5" t="n">
        <v>2</v>
      </c>
      <c r="E12" s="5" t="n">
        <v>4</v>
      </c>
      <c r="F12" s="5" t="n">
        <v>10</v>
      </c>
      <c r="G12" s="5" t="s">
        <v>212</v>
      </c>
    </row>
    <row r="13" customFormat="false" ht="15" hidden="false" customHeight="false" outlineLevel="0" collapsed="false">
      <c r="A13" s="28" t="s">
        <v>214</v>
      </c>
      <c r="B13" s="28"/>
      <c r="C13" s="28"/>
      <c r="D13" s="28"/>
      <c r="E13" s="28"/>
      <c r="F13" s="28"/>
      <c r="G13" s="28"/>
    </row>
    <row r="14" customFormat="false" ht="15" hidden="false" customHeight="false" outlineLevel="0" collapsed="false">
      <c r="A14" s="5" t="s">
        <v>215</v>
      </c>
      <c r="B14" s="5" t="n">
        <v>1</v>
      </c>
      <c r="C14" s="5" t="n">
        <v>2</v>
      </c>
      <c r="D14" s="5" t="n">
        <v>3</v>
      </c>
      <c r="E14" s="5" t="n">
        <v>6</v>
      </c>
      <c r="F14" s="5" t="n">
        <v>15</v>
      </c>
      <c r="G14" s="5" t="s">
        <v>216</v>
      </c>
    </row>
    <row r="15" customFormat="false" ht="15" hidden="false" customHeight="false" outlineLevel="0" collapsed="false">
      <c r="A15" s="5" t="s">
        <v>217</v>
      </c>
      <c r="B15" s="5" t="n">
        <v>0</v>
      </c>
      <c r="C15" s="5" t="n">
        <v>1</v>
      </c>
      <c r="D15" s="5" t="n">
        <v>1</v>
      </c>
      <c r="E15" s="5" t="n">
        <v>2</v>
      </c>
      <c r="F15" s="5" t="n">
        <v>5</v>
      </c>
      <c r="G15" s="5" t="s">
        <v>218</v>
      </c>
    </row>
    <row r="16" customFormat="false" ht="15" hidden="false" customHeight="false" outlineLevel="0" collapsed="false">
      <c r="A16" s="5" t="s">
        <v>219</v>
      </c>
      <c r="B16" s="5" t="n">
        <v>0</v>
      </c>
      <c r="C16" s="5" t="n">
        <v>0</v>
      </c>
      <c r="D16" s="5" t="n">
        <v>1</v>
      </c>
      <c r="E16" s="5" t="n">
        <v>2</v>
      </c>
      <c r="F16" s="5" t="n">
        <v>4</v>
      </c>
      <c r="G16" s="5" t="s">
        <v>220</v>
      </c>
    </row>
    <row r="17" customFormat="false" ht="15" hidden="false" customHeight="false" outlineLevel="0" collapsed="false">
      <c r="A17" s="28" t="s">
        <v>221</v>
      </c>
      <c r="B17" s="28"/>
      <c r="C17" s="28"/>
      <c r="D17" s="28"/>
      <c r="E17" s="28"/>
      <c r="F17" s="28"/>
      <c r="G17" s="28"/>
    </row>
    <row r="18" customFormat="false" ht="15" hidden="false" customHeight="false" outlineLevel="0" collapsed="false">
      <c r="A18" s="5" t="s">
        <v>222</v>
      </c>
      <c r="B18" s="5" t="n">
        <v>0</v>
      </c>
      <c r="C18" s="5" t="n">
        <v>0</v>
      </c>
      <c r="D18" s="5" t="n">
        <v>1</v>
      </c>
      <c r="E18" s="5" t="n">
        <v>1</v>
      </c>
      <c r="F18" s="5" t="n">
        <v>2</v>
      </c>
      <c r="G18" s="5" t="s">
        <v>223</v>
      </c>
    </row>
    <row r="19" customFormat="false" ht="15" hidden="false" customHeight="false" outlineLevel="0" collapsed="false">
      <c r="A19" s="5" t="s">
        <v>224</v>
      </c>
      <c r="B19" s="5" t="n">
        <v>0</v>
      </c>
      <c r="C19" s="5" t="n">
        <v>0</v>
      </c>
      <c r="D19" s="5" t="n">
        <v>1</v>
      </c>
      <c r="E19" s="5" t="n">
        <v>2</v>
      </c>
      <c r="F19" s="5" t="n">
        <v>4</v>
      </c>
      <c r="G19" s="5" t="s">
        <v>218</v>
      </c>
    </row>
    <row r="20" customFormat="false" ht="15" hidden="false" customHeight="false" outlineLevel="0" collapsed="false">
      <c r="A20" s="5" t="s">
        <v>225</v>
      </c>
      <c r="B20" s="5" t="n">
        <v>0</v>
      </c>
      <c r="C20" s="5" t="n">
        <v>1</v>
      </c>
      <c r="D20" s="5" t="n">
        <v>1</v>
      </c>
      <c r="E20" s="5" t="n">
        <v>1</v>
      </c>
      <c r="F20" s="5" t="n">
        <v>2</v>
      </c>
      <c r="G20" s="5" t="s">
        <v>220</v>
      </c>
    </row>
    <row r="21" customFormat="false" ht="15" hidden="false" customHeight="false" outlineLevel="0" collapsed="false">
      <c r="A21" s="28" t="s">
        <v>226</v>
      </c>
      <c r="B21" s="28"/>
      <c r="C21" s="28"/>
      <c r="D21" s="28"/>
      <c r="E21" s="28"/>
      <c r="F21" s="28"/>
      <c r="G21" s="28"/>
    </row>
    <row r="22" customFormat="false" ht="15" hidden="false" customHeight="false" outlineLevel="0" collapsed="false">
      <c r="A22" s="5" t="s">
        <v>227</v>
      </c>
      <c r="B22" s="5" t="n">
        <v>0</v>
      </c>
      <c r="C22" s="5" t="n">
        <v>1</v>
      </c>
      <c r="D22" s="5" t="n">
        <v>2</v>
      </c>
      <c r="E22" s="5" t="n">
        <v>3</v>
      </c>
      <c r="F22" s="5" t="n">
        <v>6</v>
      </c>
      <c r="G22" s="5" t="s">
        <v>220</v>
      </c>
    </row>
    <row r="23" customFormat="false" ht="15" hidden="false" customHeight="false" outlineLevel="0" collapsed="false">
      <c r="A23" s="16" t="s">
        <v>228</v>
      </c>
      <c r="B23" s="16" t="n">
        <v>8</v>
      </c>
      <c r="C23" s="16" t="n">
        <v>23</v>
      </c>
      <c r="D23" s="16" t="n">
        <v>46</v>
      </c>
      <c r="E23" s="16" t="n">
        <v>88</v>
      </c>
      <c r="F23" s="16" t="n">
        <v>216</v>
      </c>
      <c r="G23" s="16" t="s">
        <v>229</v>
      </c>
    </row>
    <row r="24" customFormat="false" ht="15" hidden="false" customHeight="false" outlineLevel="0" collapsed="false">
      <c r="A24" s="5" t="s">
        <v>230</v>
      </c>
      <c r="B24" s="5" t="s">
        <v>231</v>
      </c>
      <c r="C24" s="5" t="s">
        <v>232</v>
      </c>
      <c r="D24" s="5" t="s">
        <v>232</v>
      </c>
      <c r="E24" s="5" t="s">
        <v>233</v>
      </c>
      <c r="F24" s="5" t="s">
        <v>234</v>
      </c>
      <c r="G24" s="5"/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2025-12-15T23:58:22Z</dcterms:created>
  <dc:creator>openpyxl</dc:creator>
  <dc:description/>
  <dc:language>en-US</dc:language>
  <cp:lastModifiedBy/>
  <dcterms:modified xsi:type="dcterms:W3CDTF">2025-12-15T23:58:22Z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